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45738</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45738</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45738</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45738</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45738</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45738</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45738</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45738</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45738</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45738</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HYPERLINK("https://klasma.github.io/Logging_1861/artfynd/A 12560-2025 artfynd.xlsx", "A 12560-2025")</f>
        <v/>
      </c>
      <c r="T11">
        <f>HYPERLINK("https://klasma.github.io/Logging_1861/kartor/A 12560-2025 karta.png", "A 12560-2025")</f>
        <v/>
      </c>
      <c r="U11">
        <f>HYPERLINK("https://klasma.github.io/Logging_1861/knärot/A 12560-2025 karta knärot.png", "A 12560-2025")</f>
        <v/>
      </c>
      <c r="V11">
        <f>HYPERLINK("https://klasma.github.io/Logging_1861/klagomål/A 12560-2025 FSC-klagomål.docx", "A 12560-2025")</f>
        <v/>
      </c>
      <c r="W11">
        <f>HYPERLINK("https://klasma.github.io/Logging_1861/klagomålsmail/A 12560-2025 FSC-klagomål mail.docx", "A 12560-2025")</f>
        <v/>
      </c>
      <c r="X11">
        <f>HYPERLINK("https://klasma.github.io/Logging_1861/tillsyn/A 12560-2025 tillsynsbegäran.docx", "A 12560-2025")</f>
        <v/>
      </c>
      <c r="Y11">
        <f>HYPERLINK("https://klasma.github.io/Logging_1861/tillsynsmail/A 12560-2025 tillsynsbegäran mail.docx", "A 12560-2025")</f>
        <v/>
      </c>
      <c r="Z11">
        <f>HYPERLINK("https://klasma.github.io/Logging_1861/fåglar/A 12560-2025 prioriterade fågelarter.docx", "A 12560-2025")</f>
        <v/>
      </c>
    </row>
    <row r="12" ht="15" customHeight="1">
      <c r="A12" t="inlineStr">
        <is>
          <t>A 35656-2019</t>
        </is>
      </c>
      <c r="B12" s="1" t="n">
        <v>43655</v>
      </c>
      <c r="C12" s="1" t="n">
        <v>45738</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45738</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45738</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45738</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45738</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45738</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45738</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45738</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45738</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45738</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45738</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45738</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45738</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45738</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45738</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45738</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45738</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45738</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45738</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45738</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45738</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45738</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45738</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45738</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45738</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45738</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45738</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45738</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45738</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45738</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45738</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45738</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45738</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45738</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45738</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45738</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45738</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45738</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45738</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45738</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45738</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45738</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45738</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45738</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45738</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45738</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45738</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45738</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45738</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45738</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45738</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45738</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45738</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45738</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45738</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45738</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45738</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45738</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45738</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45738</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45738</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HYPERLINK("https://klasma.github.io/Logging_1861/artfynd/A 10247-2025 artfynd.xlsx", "A 10247-2025")</f>
        <v/>
      </c>
      <c r="T72">
        <f>HYPERLINK("https://klasma.github.io/Logging_1861/kartor/A 10247-2025 karta.png", "A 10247-2025")</f>
        <v/>
      </c>
      <c r="V72">
        <f>HYPERLINK("https://klasma.github.io/Logging_1861/klagomål/A 10247-2025 FSC-klagomål.docx", "A 10247-2025")</f>
        <v/>
      </c>
      <c r="W72">
        <f>HYPERLINK("https://klasma.github.io/Logging_1861/klagomålsmail/A 10247-2025 FSC-klagomål mail.docx", "A 10247-2025")</f>
        <v/>
      </c>
      <c r="X72">
        <f>HYPERLINK("https://klasma.github.io/Logging_1861/tillsyn/A 10247-2025 tillsynsbegäran.docx", "A 10247-2025")</f>
        <v/>
      </c>
      <c r="Y72">
        <f>HYPERLINK("https://klasma.github.io/Logging_1861/tillsynsmail/A 10247-2025 tillsynsbegäran mail.docx", "A 10247-2025")</f>
        <v/>
      </c>
    </row>
    <row r="73" ht="15" customHeight="1">
      <c r="A73" t="inlineStr">
        <is>
          <t>A 11361-2025</t>
        </is>
      </c>
      <c r="B73" s="1" t="n">
        <v>45726</v>
      </c>
      <c r="C73" s="1" t="n">
        <v>45738</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HYPERLINK("https://klasma.github.io/Logging_1861/artfynd/A 11361-2025 artfynd.xlsx", "A 11361-2025")</f>
        <v/>
      </c>
      <c r="T73">
        <f>HYPERLINK("https://klasma.github.io/Logging_1861/kartor/A 11361-2025 karta.png", "A 11361-2025")</f>
        <v/>
      </c>
      <c r="V73">
        <f>HYPERLINK("https://klasma.github.io/Logging_1861/klagomål/A 11361-2025 FSC-klagomål.docx", "A 11361-2025")</f>
        <v/>
      </c>
      <c r="W73">
        <f>HYPERLINK("https://klasma.github.io/Logging_1861/klagomålsmail/A 11361-2025 FSC-klagomål mail.docx", "A 11361-2025")</f>
        <v/>
      </c>
      <c r="X73">
        <f>HYPERLINK("https://klasma.github.io/Logging_1861/tillsyn/A 11361-2025 tillsynsbegäran.docx", "A 11361-2025")</f>
        <v/>
      </c>
      <c r="Y73">
        <f>HYPERLINK("https://klasma.github.io/Logging_1861/tillsynsmail/A 11361-2025 tillsynsbegäran mail.docx", "A 11361-2025")</f>
        <v/>
      </c>
      <c r="Z73">
        <f>HYPERLINK("https://klasma.github.io/Logging_1861/fåglar/A 11361-2025 prioriterade fågelarter.docx", "A 11361-2025")</f>
        <v/>
      </c>
    </row>
    <row r="74" ht="15" customHeight="1">
      <c r="A74" t="inlineStr">
        <is>
          <t>A 17632-2019</t>
        </is>
      </c>
      <c r="B74" s="1" t="n">
        <v>43556</v>
      </c>
      <c r="C74" s="1" t="n">
        <v>45738</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45738</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45738</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45738</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45738</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45738</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45738</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45738</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45738</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45738</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45738</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45738</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45738</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45738</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45738</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45738</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45738</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45738</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45738</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45738</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45738</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45738</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45738</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45738</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45738</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45738</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45738</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45738</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45738</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45738</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45738</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45738</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45738</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45738</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45738</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45738</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45738</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45738</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45738</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45738</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45738</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45738</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45738</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45738</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45738</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45738</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45738</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45738</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45738</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45738</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45738</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45738</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45738</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45738</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45738</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45738</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45738</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45738</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45738</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45738</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45738</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45738</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45738</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45738</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45738</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45738</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45738</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45738</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45738</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45738</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45738</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45738</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45738</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45738</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45738</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45738</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45738</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45738</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45738</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45738</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45738</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45738</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45738</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45738</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45738</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45738</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45738</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45738</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45738</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45738</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45738</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45738</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45738</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45738</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45738</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45738</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45738</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45738</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45738</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45738</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45738</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45738</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45738</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45738</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45738</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45738</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45738</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45738</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45738</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45738</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45738</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45738</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45738</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45738</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45738</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45738</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45738</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45738</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45738</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45738</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45738</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45738</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45738</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45738</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45738</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45738</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45738</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45738</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45738</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45738</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45738</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45738</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45738</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45738</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45738</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45738</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45738</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45738</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45738</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45738</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45738</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45738</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45738</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45738</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45738</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45738</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45738</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45738</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45738</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45738</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45738</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45738</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45738</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45738</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45738</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45738</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45738</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45738</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45738</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45738</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45738</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45738</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45738</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45738</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45738</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45738</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45738</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45738</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45738</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45738</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45738</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45738</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45738</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45738</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45738</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45738</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45738</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45738</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45738</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45738</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45738</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45738</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45738</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45738</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45738</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45738</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45738</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45738</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45738</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45738</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45738</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45738</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45738</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45738</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45738</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45738</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45738</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45738</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45738</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45738</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45738</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45738</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45738</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45738</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45738</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45738</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45738</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45738</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45738</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45738</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45738</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45738</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45738</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45738</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45738</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45738</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45738</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45738</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45738</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45738</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45738</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45738</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45738</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45738</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45738</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45738</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45738</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45738</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45738</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45738</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45738</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45738</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45738</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45738</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45738</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45738</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45738</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45738</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45738</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45738</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45738</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45738</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45738</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45738</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45738</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45738</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45738</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45738</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45738</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45738</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45738</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45738</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45738</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45738</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45738</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45738</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45738</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45738</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45738</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45738</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45738</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45738</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45738</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45738</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45738</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45738</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45738</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45738</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45738</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45738</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45738</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45738</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45738</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45738</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45738</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45738</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45738</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45738</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45738</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45738</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45738</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45738</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45738</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45738</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45738</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45738</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45738</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45738</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45738</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45738</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45738</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45738</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45738</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45738</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45738</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45738</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45738</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45738</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45738</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45738</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45738</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45738</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45738</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45738</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45738</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45738</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45738</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45738</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45738</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45738</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45738</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45738</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45738</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45738</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45738</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45738</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45738</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45738</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45738</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45738</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45738</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45738</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45738</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45738</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45738</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45738</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45738</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45738</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45738</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45738</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45738</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45738</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45738</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45738</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45738</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45738</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45738</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45738</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45738</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45738</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45738</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45738</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45738</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45738</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45738</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45738</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45738</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45738</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45738</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45738</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45738</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45738</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45738</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45738</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45738</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45738</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45738</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45738</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45738</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45738</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45738</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45738</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45738</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45738</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45738</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45738</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45738</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45738</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45738</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45738</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45738</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45738</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45738</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45738</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45738</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45738</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45738</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45738</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45738</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45738</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45738</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45738</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45738</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45738</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45738</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45738</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45738</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45738</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45738</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45738</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45738</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45738</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45738</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45738</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45738</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45738</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45738</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45738</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45738</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45738</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45738</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45738</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45738</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45738</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45738</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45738</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45738</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45738</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45738</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45738</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45738</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45738</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45738</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45738</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45738</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45738</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45738</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45738</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45738</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45738</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45738</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45738</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45738</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45738</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45738</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45738</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45738</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45738</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45738</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45738</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45738</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45738</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45738</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45738</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45738</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45738</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45738</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45738</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45738</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45738</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45738</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45738</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45738</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45738</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45738</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45738</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45738</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45738</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45738</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45738</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45738</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45738</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45738</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45738</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45738</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45738</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45738</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45738</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45738</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45738</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45738</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45738</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45738</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45738</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45738</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45738</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45738</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45738</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45738</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45738</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45738</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45738</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45738</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45738</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45738</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45738</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45738</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45738</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45738</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45738</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45738</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45738</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45738</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45738</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45738</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45738</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45738</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45738</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45738</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45738</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45738</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45738</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45738</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45738</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45738</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45738</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45738</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45738</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45738</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45738</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45738</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45738</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45738</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45738</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45738</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45738</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45738</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45738</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45738</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45738</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45738</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45738</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45738</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45738</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9926-2025</t>
        </is>
      </c>
      <c r="B588" s="1" t="n">
        <v>45717</v>
      </c>
      <c r="C588" s="1" t="n">
        <v>45738</v>
      </c>
      <c r="D588" t="inlineStr">
        <is>
          <t>ÖREBRO LÄN</t>
        </is>
      </c>
      <c r="E588" t="inlineStr">
        <is>
          <t>HALLSBERG</t>
        </is>
      </c>
      <c r="F588" t="inlineStr">
        <is>
          <t>Sveaskog</t>
        </is>
      </c>
      <c r="G588" t="n">
        <v>7.7</v>
      </c>
      <c r="H588" t="n">
        <v>0</v>
      </c>
      <c r="I588" t="n">
        <v>0</v>
      </c>
      <c r="J588" t="n">
        <v>0</v>
      </c>
      <c r="K588" t="n">
        <v>0</v>
      </c>
      <c r="L588" t="n">
        <v>0</v>
      </c>
      <c r="M588" t="n">
        <v>0</v>
      </c>
      <c r="N588" t="n">
        <v>0</v>
      </c>
      <c r="O588" t="n">
        <v>0</v>
      </c>
      <c r="P588" t="n">
        <v>0</v>
      </c>
      <c r="Q588" t="n">
        <v>0</v>
      </c>
      <c r="R588" s="2" t="inlineStr"/>
    </row>
    <row r="589" ht="15" customHeight="1">
      <c r="A589" t="inlineStr">
        <is>
          <t>A 9930-2025</t>
        </is>
      </c>
      <c r="B589" s="1" t="n">
        <v>45717</v>
      </c>
      <c r="C589" s="1" t="n">
        <v>45738</v>
      </c>
      <c r="D589" t="inlineStr">
        <is>
          <t>ÖREBRO LÄN</t>
        </is>
      </c>
      <c r="E589" t="inlineStr">
        <is>
          <t>HALLSBERG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45738</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9931-2025</t>
        </is>
      </c>
      <c r="B591" s="1" t="n">
        <v>45717</v>
      </c>
      <c r="C591" s="1" t="n">
        <v>45738</v>
      </c>
      <c r="D591" t="inlineStr">
        <is>
          <t>ÖREBRO LÄN</t>
        </is>
      </c>
      <c r="E591" t="inlineStr">
        <is>
          <t>HALLSBERG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9932-2025</t>
        </is>
      </c>
      <c r="B592" s="1" t="n">
        <v>45717</v>
      </c>
      <c r="C592" s="1" t="n">
        <v>45738</v>
      </c>
      <c r="D592" t="inlineStr">
        <is>
          <t>ÖREBRO LÄN</t>
        </is>
      </c>
      <c r="E592" t="inlineStr">
        <is>
          <t>HALLSBERG</t>
        </is>
      </c>
      <c r="F592" t="inlineStr">
        <is>
          <t>Sveaskog</t>
        </is>
      </c>
      <c r="G592" t="n">
        <v>4.6</v>
      </c>
      <c r="H592" t="n">
        <v>0</v>
      </c>
      <c r="I592" t="n">
        <v>0</v>
      </c>
      <c r="J592" t="n">
        <v>0</v>
      </c>
      <c r="K592" t="n">
        <v>0</v>
      </c>
      <c r="L592" t="n">
        <v>0</v>
      </c>
      <c r="M592" t="n">
        <v>0</v>
      </c>
      <c r="N592" t="n">
        <v>0</v>
      </c>
      <c r="O592" t="n">
        <v>0</v>
      </c>
      <c r="P592" t="n">
        <v>0</v>
      </c>
      <c r="Q592" t="n">
        <v>0</v>
      </c>
      <c r="R592" s="2" t="inlineStr"/>
    </row>
    <row r="593" ht="15" customHeight="1">
      <c r="A593" t="inlineStr">
        <is>
          <t>A 9928-2025</t>
        </is>
      </c>
      <c r="B593" s="1" t="n">
        <v>45717</v>
      </c>
      <c r="C593" s="1" t="n">
        <v>45738</v>
      </c>
      <c r="D593" t="inlineStr">
        <is>
          <t>ÖREBRO LÄN</t>
        </is>
      </c>
      <c r="E593" t="inlineStr">
        <is>
          <t>HALLSBERG</t>
        </is>
      </c>
      <c r="F593" t="inlineStr">
        <is>
          <t>Sveaskog</t>
        </is>
      </c>
      <c r="G593" t="n">
        <v>9.9</v>
      </c>
      <c r="H593" t="n">
        <v>0</v>
      </c>
      <c r="I593" t="n">
        <v>0</v>
      </c>
      <c r="J593" t="n">
        <v>0</v>
      </c>
      <c r="K593" t="n">
        <v>0</v>
      </c>
      <c r="L593" t="n">
        <v>0</v>
      </c>
      <c r="M593" t="n">
        <v>0</v>
      </c>
      <c r="N593" t="n">
        <v>0</v>
      </c>
      <c r="O593" t="n">
        <v>0</v>
      </c>
      <c r="P593" t="n">
        <v>0</v>
      </c>
      <c r="Q593" t="n">
        <v>0</v>
      </c>
      <c r="R593" s="2" t="inlineStr"/>
    </row>
    <row r="594" ht="15" customHeight="1">
      <c r="A594" t="inlineStr">
        <is>
          <t>A 9933-2025</t>
        </is>
      </c>
      <c r="B594" s="1" t="n">
        <v>45717</v>
      </c>
      <c r="C594" s="1" t="n">
        <v>45738</v>
      </c>
      <c r="D594" t="inlineStr">
        <is>
          <t>ÖREBRO LÄN</t>
        </is>
      </c>
      <c r="E594" t="inlineStr">
        <is>
          <t>HALLSBERG</t>
        </is>
      </c>
      <c r="F594" t="inlineStr">
        <is>
          <t>Sveaskog</t>
        </is>
      </c>
      <c r="G594" t="n">
        <v>1.8</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45738</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11034-2025</t>
        </is>
      </c>
      <c r="B596" s="1" t="n">
        <v>45723</v>
      </c>
      <c r="C596" s="1" t="n">
        <v>45738</v>
      </c>
      <c r="D596" t="inlineStr">
        <is>
          <t>ÖREBRO LÄN</t>
        </is>
      </c>
      <c r="E596" t="inlineStr">
        <is>
          <t>HALLSBERG</t>
        </is>
      </c>
      <c r="G596" t="n">
        <v>4.8</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45738</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45738</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11355-2025</t>
        </is>
      </c>
      <c r="B599" s="1" t="n">
        <v>45726</v>
      </c>
      <c r="C599" s="1" t="n">
        <v>45738</v>
      </c>
      <c r="D599" t="inlineStr">
        <is>
          <t>ÖREBRO LÄN</t>
        </is>
      </c>
      <c r="E599" t="inlineStr">
        <is>
          <t>HALLSBERG</t>
        </is>
      </c>
      <c r="F599" t="inlineStr">
        <is>
          <t>Sveaskog</t>
        </is>
      </c>
      <c r="G599" t="n">
        <v>5.8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45738</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45738</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11416-2025</t>
        </is>
      </c>
      <c r="B602" s="1" t="n">
        <v>45726</v>
      </c>
      <c r="C602" s="1" t="n">
        <v>45738</v>
      </c>
      <c r="D602" t="inlineStr">
        <is>
          <t>ÖREBRO LÄN</t>
        </is>
      </c>
      <c r="E602" t="inlineStr">
        <is>
          <t>HALLSBERG</t>
        </is>
      </c>
      <c r="F602" t="inlineStr">
        <is>
          <t>Sveaskog</t>
        </is>
      </c>
      <c r="G602" t="n">
        <v>1.3</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45738</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11925-2025</t>
        </is>
      </c>
      <c r="B604" s="1" t="n">
        <v>45728</v>
      </c>
      <c r="C604" s="1" t="n">
        <v>45738</v>
      </c>
      <c r="D604" t="inlineStr">
        <is>
          <t>ÖREBRO LÄN</t>
        </is>
      </c>
      <c r="E604" t="inlineStr">
        <is>
          <t>HALLSBERG</t>
        </is>
      </c>
      <c r="F604" t="inlineStr">
        <is>
          <t>Allmännings- och besparingsskogar</t>
        </is>
      </c>
      <c r="G604" t="n">
        <v>0.4</v>
      </c>
      <c r="H604" t="n">
        <v>0</v>
      </c>
      <c r="I604" t="n">
        <v>0</v>
      </c>
      <c r="J604" t="n">
        <v>0</v>
      </c>
      <c r="K604" t="n">
        <v>0</v>
      </c>
      <c r="L604" t="n">
        <v>0</v>
      </c>
      <c r="M604" t="n">
        <v>0</v>
      </c>
      <c r="N604" t="n">
        <v>0</v>
      </c>
      <c r="O604" t="n">
        <v>0</v>
      </c>
      <c r="P604" t="n">
        <v>0</v>
      </c>
      <c r="Q604" t="n">
        <v>0</v>
      </c>
      <c r="R604" s="2" t="inlineStr"/>
    </row>
    <row r="605" ht="15" customHeight="1">
      <c r="A605" t="inlineStr">
        <is>
          <t>A 12002-2025</t>
        </is>
      </c>
      <c r="B605" s="1" t="n">
        <v>45728</v>
      </c>
      <c r="C605" s="1" t="n">
        <v>45738</v>
      </c>
      <c r="D605" t="inlineStr">
        <is>
          <t>ÖREBRO LÄN</t>
        </is>
      </c>
      <c r="E605" t="inlineStr">
        <is>
          <t>HALLSBERG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45738</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12018-2025</t>
        </is>
      </c>
      <c r="B607" s="1" t="n">
        <v>45728</v>
      </c>
      <c r="C607" s="1" t="n">
        <v>45738</v>
      </c>
      <c r="D607" t="inlineStr">
        <is>
          <t>ÖREBRO LÄN</t>
        </is>
      </c>
      <c r="E607" t="inlineStr">
        <is>
          <t>HALLSBERG</t>
        </is>
      </c>
      <c r="F607" t="inlineStr">
        <is>
          <t>Sveaskog</t>
        </is>
      </c>
      <c r="G607" t="n">
        <v>0.3</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45738</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11988-2025</t>
        </is>
      </c>
      <c r="B609" s="1" t="n">
        <v>45728</v>
      </c>
      <c r="C609" s="1" t="n">
        <v>45738</v>
      </c>
      <c r="D609" t="inlineStr">
        <is>
          <t>ÖREBRO LÄN</t>
        </is>
      </c>
      <c r="E609" t="inlineStr">
        <is>
          <t>HALLSBERG</t>
        </is>
      </c>
      <c r="F609" t="inlineStr">
        <is>
          <t>Sveaskog</t>
        </is>
      </c>
      <c r="G609" t="n">
        <v>3.5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45738</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11995-2025</t>
        </is>
      </c>
      <c r="B611" s="1" t="n">
        <v>45728</v>
      </c>
      <c r="C611" s="1" t="n">
        <v>45738</v>
      </c>
      <c r="D611" t="inlineStr">
        <is>
          <t>ÖREBRO LÄN</t>
        </is>
      </c>
      <c r="E611" t="inlineStr">
        <is>
          <t>HALLSBERG</t>
        </is>
      </c>
      <c r="F611" t="inlineStr">
        <is>
          <t>Sveaskog</t>
        </is>
      </c>
      <c r="G611" t="n">
        <v>2</v>
      </c>
      <c r="H611" t="n">
        <v>0</v>
      </c>
      <c r="I611" t="n">
        <v>0</v>
      </c>
      <c r="J611" t="n">
        <v>0</v>
      </c>
      <c r="K611" t="n">
        <v>0</v>
      </c>
      <c r="L611" t="n">
        <v>0</v>
      </c>
      <c r="M611" t="n">
        <v>0</v>
      </c>
      <c r="N611" t="n">
        <v>0</v>
      </c>
      <c r="O611" t="n">
        <v>0</v>
      </c>
      <c r="P611" t="n">
        <v>0</v>
      </c>
      <c r="Q611" t="n">
        <v>0</v>
      </c>
      <c r="R611" s="2" t="inlineStr"/>
    </row>
    <row r="612" ht="15" customHeight="1">
      <c r="A612" t="inlineStr">
        <is>
          <t>A 12019-2025</t>
        </is>
      </c>
      <c r="B612" s="1" t="n">
        <v>45728</v>
      </c>
      <c r="C612" s="1" t="n">
        <v>45738</v>
      </c>
      <c r="D612" t="inlineStr">
        <is>
          <t>ÖREBRO LÄN</t>
        </is>
      </c>
      <c r="E612" t="inlineStr">
        <is>
          <t>HALLSBERG</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11993-2025</t>
        </is>
      </c>
      <c r="B613" s="1" t="n">
        <v>45728</v>
      </c>
      <c r="C613" s="1" t="n">
        <v>45738</v>
      </c>
      <c r="D613" t="inlineStr">
        <is>
          <t>ÖREBRO LÄN</t>
        </is>
      </c>
      <c r="E613" t="inlineStr">
        <is>
          <t>HALLSBERG</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12239-2025</t>
        </is>
      </c>
      <c r="B614" s="1" t="n">
        <v>45729</v>
      </c>
      <c r="C614" s="1" t="n">
        <v>45738</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12234-2025</t>
        </is>
      </c>
      <c r="B615" s="1" t="n">
        <v>45729</v>
      </c>
      <c r="C615" s="1" t="n">
        <v>45738</v>
      </c>
      <c r="D615" t="inlineStr">
        <is>
          <t>ÖREBRO LÄN</t>
        </is>
      </c>
      <c r="E615" t="inlineStr">
        <is>
          <t>HALLSBERG</t>
        </is>
      </c>
      <c r="F615" t="inlineStr">
        <is>
          <t>Sveaskog</t>
        </is>
      </c>
      <c r="G615" t="n">
        <v>1.6</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45738</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c r="A617" t="inlineStr">
        <is>
          <t>A 13724-2025</t>
        </is>
      </c>
      <c r="B617" s="1" t="n">
        <v>45737</v>
      </c>
      <c r="C617" s="1" t="n">
        <v>45738</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2025-03-22T16:22:34Z</dcterms:created>
  <dcterms:modified xmlns:dcterms="http://purl.org/dc/terms/" xmlns:xsi="http://www.w3.org/2001/XMLSchema-instance" xsi:type="dcterms:W3CDTF">2025-03-22T16:22:34Z</dcterms:modified>
</cp:coreProperties>
</file>