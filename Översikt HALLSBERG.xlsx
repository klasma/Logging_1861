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45575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45575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45575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45575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45575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45575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45575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45575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45575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45575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45575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45575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45575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45575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45575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45575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45575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45575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45575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45575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45575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45575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45575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45575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45575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45575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45575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45575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45575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45575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45575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45575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45575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45575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45575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45575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45575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45575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45575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45575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45575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45575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45575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45575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45575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45575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45575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45575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45575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45575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45575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45575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14064-2024</t>
        </is>
      </c>
      <c r="B54" s="1" t="n">
        <v>45392</v>
      </c>
      <c r="C54" s="1" t="n">
        <v>45575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14620-2024</t>
        </is>
      </c>
      <c r="B55" s="1" t="n">
        <v>45397</v>
      </c>
      <c r="C55" s="1" t="n">
        <v>45575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14620-2024 artfynd.xlsx", "A 14620-2024")</f>
        <v/>
      </c>
      <c r="T55">
        <f>HYPERLINK("https://klasma.github.io/Logging_1861/kartor/A 14620-2024 karta.png", "A 14620-2024")</f>
        <v/>
      </c>
      <c r="V55">
        <f>HYPERLINK("https://klasma.github.io/Logging_1861/klagomål/A 14620-2024 FSC-klagomål.docx", "A 14620-2024")</f>
        <v/>
      </c>
      <c r="W55">
        <f>HYPERLINK("https://klasma.github.io/Logging_1861/klagomålsmail/A 14620-2024 FSC-klagomål mail.docx", "A 14620-2024")</f>
        <v/>
      </c>
      <c r="X55">
        <f>HYPERLINK("https://klasma.github.io/Logging_1861/tillsyn/A 14620-2024 tillsynsbegäran.docx", "A 14620-2024")</f>
        <v/>
      </c>
      <c r="Y55">
        <f>HYPERLINK("https://klasma.github.io/Logging_1861/tillsynsmail/A 14620-2024 tillsynsbegäran mail.docx", "A 14620-2024")</f>
        <v/>
      </c>
    </row>
    <row r="56" ht="15" customHeight="1">
      <c r="A56" t="inlineStr">
        <is>
          <t>A 14619-2024</t>
        </is>
      </c>
      <c r="B56" s="1" t="n">
        <v>45397</v>
      </c>
      <c r="C56" s="1" t="n">
        <v>45575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21314-2024</t>
        </is>
      </c>
      <c r="B57" s="1" t="n">
        <v>45440</v>
      </c>
      <c r="C57" s="1" t="n">
        <v>45575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21314-2024 artfynd.xlsx", "A 21314-2024")</f>
        <v/>
      </c>
      <c r="T57">
        <f>HYPERLINK("https://klasma.github.io/Logging_1861/kartor/A 21314-2024 karta.png", "A 21314-2024")</f>
        <v/>
      </c>
      <c r="V57">
        <f>HYPERLINK("https://klasma.github.io/Logging_1861/klagomål/A 21314-2024 FSC-klagomål.docx", "A 21314-2024")</f>
        <v/>
      </c>
      <c r="W57">
        <f>HYPERLINK("https://klasma.github.io/Logging_1861/klagomålsmail/A 21314-2024 FSC-klagomål mail.docx", "A 21314-2024")</f>
        <v/>
      </c>
      <c r="X57">
        <f>HYPERLINK("https://klasma.github.io/Logging_1861/tillsyn/A 21314-2024 tillsynsbegäran.docx", "A 21314-2024")</f>
        <v/>
      </c>
      <c r="Y57">
        <f>HYPERLINK("https://klasma.github.io/Logging_1861/tillsynsmail/A 21314-2024 tillsynsbegäran mail.docx", "A 21314-2024")</f>
        <v/>
      </c>
    </row>
    <row r="58" ht="15" customHeight="1">
      <c r="A58" t="inlineStr">
        <is>
          <t>A 32543-2024</t>
        </is>
      </c>
      <c r="B58" s="1" t="n">
        <v>45513</v>
      </c>
      <c r="C58" s="1" t="n">
        <v>45575</v>
      </c>
      <c r="D58" t="inlineStr">
        <is>
          <t>ÖREBRO LÄN</t>
        </is>
      </c>
      <c r="E58" t="inlineStr">
        <is>
          <t>HALLSBERG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HYPERLINK("https://klasma.github.io/Logging_1861/artfynd/A 32543-2024 artfynd.xlsx", "A 32543-2024")</f>
        <v/>
      </c>
      <c r="T58">
        <f>HYPERLINK("https://klasma.github.io/Logging_1861/kartor/A 32543-2024 karta.png", "A 32543-2024")</f>
        <v/>
      </c>
      <c r="V58">
        <f>HYPERLINK("https://klasma.github.io/Logging_1861/klagomål/A 32543-2024 FSC-klagomål.docx", "A 32543-2024")</f>
        <v/>
      </c>
      <c r="W58">
        <f>HYPERLINK("https://klasma.github.io/Logging_1861/klagomålsmail/A 32543-2024 FSC-klagomål mail.docx", "A 32543-2024")</f>
        <v/>
      </c>
      <c r="X58">
        <f>HYPERLINK("https://klasma.github.io/Logging_1861/tillsyn/A 32543-2024 tillsynsbegäran.docx", "A 32543-2024")</f>
        <v/>
      </c>
      <c r="Y58">
        <f>HYPERLINK("https://klasma.github.io/Logging_1861/tillsynsmail/A 32543-2024 tillsynsbegäran mail.docx", "A 32543-2024")</f>
        <v/>
      </c>
      <c r="Z58">
        <f>HYPERLINK("https://klasma.github.io/Logging_1861/fåglar/A 32543-2024 prioriterade fågelarter.docx", "A 32543-2024")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45575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17632-2019</t>
        </is>
      </c>
      <c r="B60" s="1" t="n">
        <v>43556</v>
      </c>
      <c r="C60" s="1" t="n">
        <v>45575</v>
      </c>
      <c r="D60" t="inlineStr">
        <is>
          <t>ÖREBRO LÄN</t>
        </is>
      </c>
      <c r="E60" t="inlineStr">
        <is>
          <t>HALLSBERG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18331-2019</t>
        </is>
      </c>
      <c r="B61" s="1" t="n">
        <v>43558</v>
      </c>
      <c r="C61" s="1" t="n">
        <v>45575</v>
      </c>
      <c r="D61" t="inlineStr">
        <is>
          <t>ÖREBRO LÄN</t>
        </is>
      </c>
      <c r="E61" t="inlineStr">
        <is>
          <t>HALLSBERG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20150-2019</t>
        </is>
      </c>
      <c r="B62" s="1" t="n">
        <v>43570</v>
      </c>
      <c r="C62" s="1" t="n">
        <v>45575</v>
      </c>
      <c r="D62" t="inlineStr">
        <is>
          <t>ÖREBRO LÄN</t>
        </is>
      </c>
      <c r="E62" t="inlineStr">
        <is>
          <t>HALLSBERG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21409-2019</t>
        </is>
      </c>
      <c r="B63" s="1" t="n">
        <v>43580</v>
      </c>
      <c r="C63" s="1" t="n">
        <v>45575</v>
      </c>
      <c r="D63" t="inlineStr">
        <is>
          <t>ÖREBRO LÄN</t>
        </is>
      </c>
      <c r="E63" t="inlineStr">
        <is>
          <t>HALLSBERG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22012-2019</t>
        </is>
      </c>
      <c r="B64" s="1" t="n">
        <v>43584</v>
      </c>
      <c r="C64" s="1" t="n">
        <v>45575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22251-2019</t>
        </is>
      </c>
      <c r="B65" s="1" t="n">
        <v>43585</v>
      </c>
      <c r="C65" s="1" t="n">
        <v>45575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24729-2019</t>
        </is>
      </c>
      <c r="B66" s="1" t="n">
        <v>43601</v>
      </c>
      <c r="C66" s="1" t="n">
        <v>45575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26435-2019</t>
        </is>
      </c>
      <c r="B67" s="1" t="n">
        <v>43607</v>
      </c>
      <c r="C67" s="1" t="n">
        <v>45575</v>
      </c>
      <c r="D67" t="inlineStr">
        <is>
          <t>ÖREBRO LÄN</t>
        </is>
      </c>
      <c r="E67" t="inlineStr">
        <is>
          <t>HALLSBERG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30236-2019</t>
        </is>
      </c>
      <c r="B68" s="1" t="n">
        <v>43634</v>
      </c>
      <c r="C68" s="1" t="n">
        <v>45575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30347-2019</t>
        </is>
      </c>
      <c r="B69" s="1" t="n">
        <v>43634</v>
      </c>
      <c r="C69" s="1" t="n">
        <v>45575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34787-2019</t>
        </is>
      </c>
      <c r="B70" s="1" t="n">
        <v>43649</v>
      </c>
      <c r="C70" s="1" t="n">
        <v>45575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35682-2019</t>
        </is>
      </c>
      <c r="B71" s="1" t="n">
        <v>43654</v>
      </c>
      <c r="C71" s="1" t="n">
        <v>45575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35673-2019</t>
        </is>
      </c>
      <c r="B72" s="1" t="n">
        <v>43654</v>
      </c>
      <c r="C72" s="1" t="n">
        <v>45575</v>
      </c>
      <c r="D72" t="inlineStr">
        <is>
          <t>ÖREBRO LÄN</t>
        </is>
      </c>
      <c r="E72" t="inlineStr">
        <is>
          <t>HALLSBERG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34279-2019</t>
        </is>
      </c>
      <c r="B73" s="1" t="n">
        <v>43655</v>
      </c>
      <c r="C73" s="1" t="n">
        <v>45575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35532-2019</t>
        </is>
      </c>
      <c r="B74" s="1" t="n">
        <v>43655</v>
      </c>
      <c r="C74" s="1" t="n">
        <v>45575</v>
      </c>
      <c r="D74" t="inlineStr">
        <is>
          <t>ÖREBRO LÄN</t>
        </is>
      </c>
      <c r="E74" t="inlineStr">
        <is>
          <t>HALLSBERG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35662-2019</t>
        </is>
      </c>
      <c r="B75" s="1" t="n">
        <v>43655</v>
      </c>
      <c r="C75" s="1" t="n">
        <v>45575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34281-2019</t>
        </is>
      </c>
      <c r="B76" s="1" t="n">
        <v>43655</v>
      </c>
      <c r="C76" s="1" t="n">
        <v>45575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HYPERLINK("https://klasma.github.io/Logging_1861/knärot/A 34281-2019 karta knärot.png", "A 34281-2019")</f>
        <v/>
      </c>
      <c r="V76">
        <f>HYPERLINK("https://klasma.github.io/Logging_1861/klagomål/A 34281-2019 FSC-klagomål.docx", "A 34281-2019")</f>
        <v/>
      </c>
      <c r="W76">
        <f>HYPERLINK("https://klasma.github.io/Logging_1861/klagomålsmail/A 34281-2019 FSC-klagomål mail.docx", "A 34281-2019")</f>
        <v/>
      </c>
      <c r="X76">
        <f>HYPERLINK("https://klasma.github.io/Logging_1861/tillsyn/A 34281-2019 tillsynsbegäran.docx", "A 34281-2019")</f>
        <v/>
      </c>
      <c r="Y76">
        <f>HYPERLINK("https://klasma.github.io/Logging_1861/tillsynsmail/A 34281-2019 tillsynsbegäran mail.docx", "A 34281-2019")</f>
        <v/>
      </c>
    </row>
    <row r="77" ht="15" customHeight="1">
      <c r="A77" t="inlineStr">
        <is>
          <t>A 35665-2019</t>
        </is>
      </c>
      <c r="B77" s="1" t="n">
        <v>43655</v>
      </c>
      <c r="C77" s="1" t="n">
        <v>45575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35659-2019</t>
        </is>
      </c>
      <c r="B78" s="1" t="n">
        <v>43655</v>
      </c>
      <c r="C78" s="1" t="n">
        <v>45575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34277-2019</t>
        </is>
      </c>
      <c r="B79" s="1" t="n">
        <v>43655</v>
      </c>
      <c r="C79" s="1" t="n">
        <v>45575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37494-2019</t>
        </is>
      </c>
      <c r="B80" s="1" t="n">
        <v>43679</v>
      </c>
      <c r="C80" s="1" t="n">
        <v>45575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37493-2019</t>
        </is>
      </c>
      <c r="B81" s="1" t="n">
        <v>43679</v>
      </c>
      <c r="C81" s="1" t="n">
        <v>45575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37495-2019</t>
        </is>
      </c>
      <c r="B82" s="1" t="n">
        <v>43679</v>
      </c>
      <c r="C82" s="1" t="n">
        <v>45575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37474-2019</t>
        </is>
      </c>
      <c r="B83" s="1" t="n">
        <v>43679</v>
      </c>
      <c r="C83" s="1" t="n">
        <v>45575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37926-2019</t>
        </is>
      </c>
      <c r="B84" s="1" t="n">
        <v>43683</v>
      </c>
      <c r="C84" s="1" t="n">
        <v>45575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39879-2019</t>
        </is>
      </c>
      <c r="B85" s="1" t="n">
        <v>43692</v>
      </c>
      <c r="C85" s="1" t="n">
        <v>45575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41182-2019</t>
        </is>
      </c>
      <c r="B86" s="1" t="n">
        <v>43698</v>
      </c>
      <c r="C86" s="1" t="n">
        <v>45575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41250-2019</t>
        </is>
      </c>
      <c r="B87" s="1" t="n">
        <v>43698</v>
      </c>
      <c r="C87" s="1" t="n">
        <v>45575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41174-2019</t>
        </is>
      </c>
      <c r="B88" s="1" t="n">
        <v>43698</v>
      </c>
      <c r="C88" s="1" t="n">
        <v>45575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41184-2019</t>
        </is>
      </c>
      <c r="B89" s="1" t="n">
        <v>43698</v>
      </c>
      <c r="C89" s="1" t="n">
        <v>45575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41345-2019</t>
        </is>
      </c>
      <c r="B90" s="1" t="n">
        <v>43698</v>
      </c>
      <c r="C90" s="1" t="n">
        <v>45575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41348-2019</t>
        </is>
      </c>
      <c r="B91" s="1" t="n">
        <v>43698</v>
      </c>
      <c r="C91" s="1" t="n">
        <v>45575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41864-2019</t>
        </is>
      </c>
      <c r="B92" s="1" t="n">
        <v>43700</v>
      </c>
      <c r="C92" s="1" t="n">
        <v>45575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42281-2019</t>
        </is>
      </c>
      <c r="B93" s="1" t="n">
        <v>43703</v>
      </c>
      <c r="C93" s="1" t="n">
        <v>45575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43828-2019</t>
        </is>
      </c>
      <c r="B94" s="1" t="n">
        <v>43704</v>
      </c>
      <c r="C94" s="1" t="n">
        <v>45575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43642-2019</t>
        </is>
      </c>
      <c r="B95" s="1" t="n">
        <v>43704</v>
      </c>
      <c r="C95" s="1" t="n">
        <v>45575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43646-2019</t>
        </is>
      </c>
      <c r="B96" s="1" t="n">
        <v>43704</v>
      </c>
      <c r="C96" s="1" t="n">
        <v>45575</v>
      </c>
      <c r="D96" t="inlineStr">
        <is>
          <t>ÖREBRO LÄN</t>
        </is>
      </c>
      <c r="E96" t="inlineStr">
        <is>
          <t>HALLSBERG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43822-2019</t>
        </is>
      </c>
      <c r="B97" s="1" t="n">
        <v>43704</v>
      </c>
      <c r="C97" s="1" t="n">
        <v>45575</v>
      </c>
      <c r="D97" t="inlineStr">
        <is>
          <t>ÖREBRO LÄN</t>
        </is>
      </c>
      <c r="E97" t="inlineStr">
        <is>
          <t>HALLSBERG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43851-2019</t>
        </is>
      </c>
      <c r="B98" s="1" t="n">
        <v>43704</v>
      </c>
      <c r="C98" s="1" t="n">
        <v>45575</v>
      </c>
      <c r="D98" t="inlineStr">
        <is>
          <t>ÖREBRO LÄN</t>
        </is>
      </c>
      <c r="E98" t="inlineStr">
        <is>
          <t>HALLSBERG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47880-2019</t>
        </is>
      </c>
      <c r="B99" s="1" t="n">
        <v>43725</v>
      </c>
      <c r="C99" s="1" t="n">
        <v>45575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47884-2019</t>
        </is>
      </c>
      <c r="B100" s="1" t="n">
        <v>43725</v>
      </c>
      <c r="C100" s="1" t="n">
        <v>45575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50543-2019</t>
        </is>
      </c>
      <c r="B101" s="1" t="n">
        <v>43735</v>
      </c>
      <c r="C101" s="1" t="n">
        <v>45575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50531-2019</t>
        </is>
      </c>
      <c r="B102" s="1" t="n">
        <v>43735</v>
      </c>
      <c r="C102" s="1" t="n">
        <v>45575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51641-2019</t>
        </is>
      </c>
      <c r="B103" s="1" t="n">
        <v>43740</v>
      </c>
      <c r="C103" s="1" t="n">
        <v>45575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53726-2019</t>
        </is>
      </c>
      <c r="B104" s="1" t="n">
        <v>43749</v>
      </c>
      <c r="C104" s="1" t="n">
        <v>45575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55605-2019</t>
        </is>
      </c>
      <c r="B105" s="1" t="n">
        <v>43759</v>
      </c>
      <c r="C105" s="1" t="n">
        <v>45575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55613-2019</t>
        </is>
      </c>
      <c r="B106" s="1" t="n">
        <v>43759</v>
      </c>
      <c r="C106" s="1" t="n">
        <v>45575</v>
      </c>
      <c r="D106" t="inlineStr">
        <is>
          <t>ÖREBRO LÄN</t>
        </is>
      </c>
      <c r="E106" t="inlineStr">
        <is>
          <t>HALLSBERG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56454-2019</t>
        </is>
      </c>
      <c r="B107" s="1" t="n">
        <v>43762</v>
      </c>
      <c r="C107" s="1" t="n">
        <v>45575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56421-2019</t>
        </is>
      </c>
      <c r="B108" s="1" t="n">
        <v>43762</v>
      </c>
      <c r="C108" s="1" t="n">
        <v>45575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60367-2019</t>
        </is>
      </c>
      <c r="B109" s="1" t="n">
        <v>43776</v>
      </c>
      <c r="C109" s="1" t="n">
        <v>45575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60626-2019</t>
        </is>
      </c>
      <c r="B110" s="1" t="n">
        <v>43781</v>
      </c>
      <c r="C110" s="1" t="n">
        <v>45575</v>
      </c>
      <c r="D110" t="inlineStr">
        <is>
          <t>ÖREBRO LÄN</t>
        </is>
      </c>
      <c r="E110" t="inlineStr">
        <is>
          <t>HALLSBERG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63117-2019</t>
        </is>
      </c>
      <c r="B111" s="1" t="n">
        <v>43791</v>
      </c>
      <c r="C111" s="1" t="n">
        <v>45575</v>
      </c>
      <c r="D111" t="inlineStr">
        <is>
          <t>ÖREBRO LÄN</t>
        </is>
      </c>
      <c r="E111" t="inlineStr">
        <is>
          <t>HALLSBERG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63264-2019</t>
        </is>
      </c>
      <c r="B112" s="1" t="n">
        <v>43793</v>
      </c>
      <c r="C112" s="1" t="n">
        <v>45575</v>
      </c>
      <c r="D112" t="inlineStr">
        <is>
          <t>ÖREBRO LÄN</t>
        </is>
      </c>
      <c r="E112" t="inlineStr">
        <is>
          <t>HALLSBERG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1516-2020</t>
        </is>
      </c>
      <c r="B113" s="1" t="n">
        <v>43843</v>
      </c>
      <c r="C113" s="1" t="n">
        <v>45575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2362-2020</t>
        </is>
      </c>
      <c r="B114" s="1" t="n">
        <v>43846</v>
      </c>
      <c r="C114" s="1" t="n">
        <v>45575</v>
      </c>
      <c r="D114" t="inlineStr">
        <is>
          <t>ÖREBRO LÄN</t>
        </is>
      </c>
      <c r="E114" t="inlineStr">
        <is>
          <t>HALLSBERG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5275-2020</t>
        </is>
      </c>
      <c r="B115" s="1" t="n">
        <v>43860</v>
      </c>
      <c r="C115" s="1" t="n">
        <v>45575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5667-2020</t>
        </is>
      </c>
      <c r="B116" s="1" t="n">
        <v>43861</v>
      </c>
      <c r="C116" s="1" t="n">
        <v>45575</v>
      </c>
      <c r="D116" t="inlineStr">
        <is>
          <t>ÖREBRO LÄN</t>
        </is>
      </c>
      <c r="E116" t="inlineStr">
        <is>
          <t>HALLSBERG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6938-2020</t>
        </is>
      </c>
      <c r="B117" s="1" t="n">
        <v>43867</v>
      </c>
      <c r="C117" s="1" t="n">
        <v>45575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9200-2020</t>
        </is>
      </c>
      <c r="B118" s="1" t="n">
        <v>43879</v>
      </c>
      <c r="C118" s="1" t="n">
        <v>45575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9211-2020</t>
        </is>
      </c>
      <c r="B119" s="1" t="n">
        <v>43879</v>
      </c>
      <c r="C119" s="1" t="n">
        <v>45575</v>
      </c>
      <c r="D119" t="inlineStr">
        <is>
          <t>ÖREBRO LÄN</t>
        </is>
      </c>
      <c r="E119" t="inlineStr">
        <is>
          <t>HALLSBERG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12057-2020</t>
        </is>
      </c>
      <c r="B120" s="1" t="n">
        <v>43894</v>
      </c>
      <c r="C120" s="1" t="n">
        <v>45575</v>
      </c>
      <c r="D120" t="inlineStr">
        <is>
          <t>ÖREBRO LÄN</t>
        </is>
      </c>
      <c r="E120" t="inlineStr">
        <is>
          <t>HALLSBERG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14453-2020</t>
        </is>
      </c>
      <c r="B121" s="1" t="n">
        <v>43908</v>
      </c>
      <c r="C121" s="1" t="n">
        <v>45575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16056-2020</t>
        </is>
      </c>
      <c r="B122" s="1" t="n">
        <v>43916</v>
      </c>
      <c r="C122" s="1" t="n">
        <v>45575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18548-2020</t>
        </is>
      </c>
      <c r="B123" s="1" t="n">
        <v>43929</v>
      </c>
      <c r="C123" s="1" t="n">
        <v>45575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18555-2020</t>
        </is>
      </c>
      <c r="B124" s="1" t="n">
        <v>43929</v>
      </c>
      <c r="C124" s="1" t="n">
        <v>45575</v>
      </c>
      <c r="D124" t="inlineStr">
        <is>
          <t>ÖREBRO LÄN</t>
        </is>
      </c>
      <c r="E124" t="inlineStr">
        <is>
          <t>HALLSBERG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18553-2020</t>
        </is>
      </c>
      <c r="B125" s="1" t="n">
        <v>43929</v>
      </c>
      <c r="C125" s="1" t="n">
        <v>45575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19784-2020</t>
        </is>
      </c>
      <c r="B126" s="1" t="n">
        <v>43942</v>
      </c>
      <c r="C126" s="1" t="n">
        <v>45575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19791-2020</t>
        </is>
      </c>
      <c r="B127" s="1" t="n">
        <v>43942</v>
      </c>
      <c r="C127" s="1" t="n">
        <v>45575</v>
      </c>
      <c r="D127" t="inlineStr">
        <is>
          <t>ÖREBRO LÄN</t>
        </is>
      </c>
      <c r="E127" t="inlineStr">
        <is>
          <t>HALLSBERG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20129-2020</t>
        </is>
      </c>
      <c r="B128" s="1" t="n">
        <v>43944</v>
      </c>
      <c r="C128" s="1" t="n">
        <v>45575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20511-2020</t>
        </is>
      </c>
      <c r="B129" s="1" t="n">
        <v>43948</v>
      </c>
      <c r="C129" s="1" t="n">
        <v>45575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20544-2020</t>
        </is>
      </c>
      <c r="B130" s="1" t="n">
        <v>43948</v>
      </c>
      <c r="C130" s="1" t="n">
        <v>45575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20500-2020</t>
        </is>
      </c>
      <c r="B131" s="1" t="n">
        <v>43948</v>
      </c>
      <c r="C131" s="1" t="n">
        <v>45575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20510-2020</t>
        </is>
      </c>
      <c r="B132" s="1" t="n">
        <v>43948</v>
      </c>
      <c r="C132" s="1" t="n">
        <v>45575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20704-2020</t>
        </is>
      </c>
      <c r="B133" s="1" t="n">
        <v>43949</v>
      </c>
      <c r="C133" s="1" t="n">
        <v>45575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20705-2020</t>
        </is>
      </c>
      <c r="B134" s="1" t="n">
        <v>43949</v>
      </c>
      <c r="C134" s="1" t="n">
        <v>45575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20958-2020</t>
        </is>
      </c>
      <c r="B135" s="1" t="n">
        <v>43950</v>
      </c>
      <c r="C135" s="1" t="n">
        <v>45575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20833-2020</t>
        </is>
      </c>
      <c r="B136" s="1" t="n">
        <v>43950</v>
      </c>
      <c r="C136" s="1" t="n">
        <v>45575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22567-2020</t>
        </is>
      </c>
      <c r="B137" s="1" t="n">
        <v>43963</v>
      </c>
      <c r="C137" s="1" t="n">
        <v>45575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23720-2020</t>
        </is>
      </c>
      <c r="B138" s="1" t="n">
        <v>43970</v>
      </c>
      <c r="C138" s="1" t="n">
        <v>45575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23716-2020</t>
        </is>
      </c>
      <c r="B139" s="1" t="n">
        <v>43970</v>
      </c>
      <c r="C139" s="1" t="n">
        <v>45575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23717-2020</t>
        </is>
      </c>
      <c r="B140" s="1" t="n">
        <v>43970</v>
      </c>
      <c r="C140" s="1" t="n">
        <v>45575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23773-2020</t>
        </is>
      </c>
      <c r="B141" s="1" t="n">
        <v>43970</v>
      </c>
      <c r="C141" s="1" t="n">
        <v>45575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24022-2020</t>
        </is>
      </c>
      <c r="B142" s="1" t="n">
        <v>43971</v>
      </c>
      <c r="C142" s="1" t="n">
        <v>45575</v>
      </c>
      <c r="D142" t="inlineStr">
        <is>
          <t>ÖREBRO LÄN</t>
        </is>
      </c>
      <c r="E142" t="inlineStr">
        <is>
          <t>HALLSBERG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24623-2020</t>
        </is>
      </c>
      <c r="B143" s="1" t="n">
        <v>43977</v>
      </c>
      <c r="C143" s="1" t="n">
        <v>45575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24626-2020</t>
        </is>
      </c>
      <c r="B144" s="1" t="n">
        <v>43977</v>
      </c>
      <c r="C144" s="1" t="n">
        <v>45575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26196-2020</t>
        </is>
      </c>
      <c r="B145" s="1" t="n">
        <v>43985</v>
      </c>
      <c r="C145" s="1" t="n">
        <v>45575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26211-2020</t>
        </is>
      </c>
      <c r="B146" s="1" t="n">
        <v>43986</v>
      </c>
      <c r="C146" s="1" t="n">
        <v>45575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26477-2020</t>
        </is>
      </c>
      <c r="B147" s="1" t="n">
        <v>43987</v>
      </c>
      <c r="C147" s="1" t="n">
        <v>45575</v>
      </c>
      <c r="D147" t="inlineStr">
        <is>
          <t>ÖREBRO LÄN</t>
        </is>
      </c>
      <c r="E147" t="inlineStr">
        <is>
          <t>HALLSBERG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28193-2020</t>
        </is>
      </c>
      <c r="B148" s="1" t="n">
        <v>43997</v>
      </c>
      <c r="C148" s="1" t="n">
        <v>45575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28286-2020</t>
        </is>
      </c>
      <c r="B149" s="1" t="n">
        <v>43998</v>
      </c>
      <c r="C149" s="1" t="n">
        <v>45575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28316-2020</t>
        </is>
      </c>
      <c r="B150" s="1" t="n">
        <v>43998</v>
      </c>
      <c r="C150" s="1" t="n">
        <v>45575</v>
      </c>
      <c r="D150" t="inlineStr">
        <is>
          <t>ÖREBRO LÄN</t>
        </is>
      </c>
      <c r="E150" t="inlineStr">
        <is>
          <t>HALLSBERG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29156-2020</t>
        </is>
      </c>
      <c r="B151" s="1" t="n">
        <v>43999</v>
      </c>
      <c r="C151" s="1" t="n">
        <v>45575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29804-2020</t>
        </is>
      </c>
      <c r="B152" s="1" t="n">
        <v>44006</v>
      </c>
      <c r="C152" s="1" t="n">
        <v>45575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32887-2020</t>
        </is>
      </c>
      <c r="B153" s="1" t="n">
        <v>44018</v>
      </c>
      <c r="C153" s="1" t="n">
        <v>45575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32894-2020</t>
        </is>
      </c>
      <c r="B154" s="1" t="n">
        <v>44018</v>
      </c>
      <c r="C154" s="1" t="n">
        <v>45575</v>
      </c>
      <c r="D154" t="inlineStr">
        <is>
          <t>ÖREBRO LÄN</t>
        </is>
      </c>
      <c r="E154" t="inlineStr">
        <is>
          <t>HALLSBERG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33049-2020</t>
        </is>
      </c>
      <c r="B155" s="1" t="n">
        <v>44021</v>
      </c>
      <c r="C155" s="1" t="n">
        <v>45575</v>
      </c>
      <c r="D155" t="inlineStr">
        <is>
          <t>ÖREBRO LÄN</t>
        </is>
      </c>
      <c r="E155" t="inlineStr">
        <is>
          <t>HALLSBERG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37900-2020</t>
        </is>
      </c>
      <c r="B156" s="1" t="n">
        <v>44057</v>
      </c>
      <c r="C156" s="1" t="n">
        <v>45575</v>
      </c>
      <c r="D156" t="inlineStr">
        <is>
          <t>ÖREBRO LÄN</t>
        </is>
      </c>
      <c r="E156" t="inlineStr">
        <is>
          <t>HALLSBERG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37921-2020</t>
        </is>
      </c>
      <c r="B157" s="1" t="n">
        <v>44057</v>
      </c>
      <c r="C157" s="1" t="n">
        <v>45575</v>
      </c>
      <c r="D157" t="inlineStr">
        <is>
          <t>ÖREBRO LÄN</t>
        </is>
      </c>
      <c r="E157" t="inlineStr">
        <is>
          <t>HALLSBERG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37944-2020</t>
        </is>
      </c>
      <c r="B158" s="1" t="n">
        <v>44057</v>
      </c>
      <c r="C158" s="1" t="n">
        <v>45575</v>
      </c>
      <c r="D158" t="inlineStr">
        <is>
          <t>ÖREBRO LÄN</t>
        </is>
      </c>
      <c r="E158" t="inlineStr">
        <is>
          <t>HALLSBERG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39252-2020</t>
        </is>
      </c>
      <c r="B159" s="1" t="n">
        <v>44063</v>
      </c>
      <c r="C159" s="1" t="n">
        <v>45575</v>
      </c>
      <c r="D159" t="inlineStr">
        <is>
          <t>ÖREBRO LÄN</t>
        </is>
      </c>
      <c r="E159" t="inlineStr">
        <is>
          <t>HALLSBERG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39995-2020</t>
        </is>
      </c>
      <c r="B160" s="1" t="n">
        <v>44064</v>
      </c>
      <c r="C160" s="1" t="n">
        <v>45575</v>
      </c>
      <c r="D160" t="inlineStr">
        <is>
          <t>ÖREBRO LÄN</t>
        </is>
      </c>
      <c r="E160" t="inlineStr">
        <is>
          <t>HALLSBERG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41179-2020</t>
        </is>
      </c>
      <c r="B161" s="1" t="n">
        <v>44071</v>
      </c>
      <c r="C161" s="1" t="n">
        <v>45575</v>
      </c>
      <c r="D161" t="inlineStr">
        <is>
          <t>ÖREBRO LÄN</t>
        </is>
      </c>
      <c r="E161" t="inlineStr">
        <is>
          <t>HALLSBERG</t>
        </is>
      </c>
      <c r="G161" t="n">
        <v>21.1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42074-2020</t>
        </is>
      </c>
      <c r="B162" s="1" t="n">
        <v>44075</v>
      </c>
      <c r="C162" s="1" t="n">
        <v>45575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43007-2020</t>
        </is>
      </c>
      <c r="B163" s="1" t="n">
        <v>44078</v>
      </c>
      <c r="C163" s="1" t="n">
        <v>45575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42903-2020</t>
        </is>
      </c>
      <c r="B164" s="1" t="n">
        <v>44078</v>
      </c>
      <c r="C164" s="1" t="n">
        <v>45575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46025-2020</t>
        </is>
      </c>
      <c r="B165" s="1" t="n">
        <v>44088</v>
      </c>
      <c r="C165" s="1" t="n">
        <v>45575</v>
      </c>
      <c r="D165" t="inlineStr">
        <is>
          <t>ÖREBRO LÄN</t>
        </is>
      </c>
      <c r="E165" t="inlineStr">
        <is>
          <t>HALLSBERG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46305-2020</t>
        </is>
      </c>
      <c r="B166" s="1" t="n">
        <v>44092</v>
      </c>
      <c r="C166" s="1" t="n">
        <v>45575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47322-2020</t>
        </is>
      </c>
      <c r="B167" s="1" t="n">
        <v>44097</v>
      </c>
      <c r="C167" s="1" t="n">
        <v>45575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48725-2020</t>
        </is>
      </c>
      <c r="B168" s="1" t="n">
        <v>44099</v>
      </c>
      <c r="C168" s="1" t="n">
        <v>45575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58208-2020</t>
        </is>
      </c>
      <c r="B169" s="1" t="n">
        <v>44144</v>
      </c>
      <c r="C169" s="1" t="n">
        <v>45575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58215-2020</t>
        </is>
      </c>
      <c r="B170" s="1" t="n">
        <v>44144</v>
      </c>
      <c r="C170" s="1" t="n">
        <v>45575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59076-2020</t>
        </is>
      </c>
      <c r="B171" s="1" t="n">
        <v>44147</v>
      </c>
      <c r="C171" s="1" t="n">
        <v>45575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60548-2020</t>
        </is>
      </c>
      <c r="B172" s="1" t="n">
        <v>44153</v>
      </c>
      <c r="C172" s="1" t="n">
        <v>45575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62939-2020</t>
        </is>
      </c>
      <c r="B173" s="1" t="n">
        <v>44161</v>
      </c>
      <c r="C173" s="1" t="n">
        <v>45575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63748-2020</t>
        </is>
      </c>
      <c r="B174" s="1" t="n">
        <v>44166</v>
      </c>
      <c r="C174" s="1" t="n">
        <v>45575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127-2021</t>
        </is>
      </c>
      <c r="B175" s="1" t="n">
        <v>44200</v>
      </c>
      <c r="C175" s="1" t="n">
        <v>45575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1618-2021</t>
        </is>
      </c>
      <c r="B176" s="1" t="n">
        <v>44209</v>
      </c>
      <c r="C176" s="1" t="n">
        <v>45575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2303-2021</t>
        </is>
      </c>
      <c r="B177" s="1" t="n">
        <v>44213</v>
      </c>
      <c r="C177" s="1" t="n">
        <v>45575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5101-2021</t>
        </is>
      </c>
      <c r="B178" s="1" t="n">
        <v>44224</v>
      </c>
      <c r="C178" s="1" t="n">
        <v>45575</v>
      </c>
      <c r="D178" t="inlineStr">
        <is>
          <t>ÖREBRO LÄN</t>
        </is>
      </c>
      <c r="E178" t="inlineStr">
        <is>
          <t>HALLSBERG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5651-2021</t>
        </is>
      </c>
      <c r="B179" s="1" t="n">
        <v>44230</v>
      </c>
      <c r="C179" s="1" t="n">
        <v>45575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7188-2021</t>
        </is>
      </c>
      <c r="B180" s="1" t="n">
        <v>44238</v>
      </c>
      <c r="C180" s="1" t="n">
        <v>45575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10691-2021</t>
        </is>
      </c>
      <c r="B181" s="1" t="n">
        <v>44258</v>
      </c>
      <c r="C181" s="1" t="n">
        <v>45575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12461-2021</t>
        </is>
      </c>
      <c r="B182" s="1" t="n">
        <v>44267</v>
      </c>
      <c r="C182" s="1" t="n">
        <v>45575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20335-2021</t>
        </is>
      </c>
      <c r="B183" s="1" t="n">
        <v>44315</v>
      </c>
      <c r="C183" s="1" t="n">
        <v>45575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23856-2021</t>
        </is>
      </c>
      <c r="B184" s="1" t="n">
        <v>44335</v>
      </c>
      <c r="C184" s="1" t="n">
        <v>45575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24045-2021</t>
        </is>
      </c>
      <c r="B185" s="1" t="n">
        <v>44336</v>
      </c>
      <c r="C185" s="1" t="n">
        <v>45575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24876-2021</t>
        </is>
      </c>
      <c r="B186" s="1" t="n">
        <v>44341</v>
      </c>
      <c r="C186" s="1" t="n">
        <v>45575</v>
      </c>
      <c r="D186" t="inlineStr">
        <is>
          <t>ÖREBRO LÄN</t>
        </is>
      </c>
      <c r="E186" t="inlineStr">
        <is>
          <t>HALLSBERG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24897-2021</t>
        </is>
      </c>
      <c r="B187" s="1" t="n">
        <v>44341</v>
      </c>
      <c r="C187" s="1" t="n">
        <v>45575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25688-2021</t>
        </is>
      </c>
      <c r="B188" s="1" t="n">
        <v>44343</v>
      </c>
      <c r="C188" s="1" t="n">
        <v>45575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45575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45575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45575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45575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45575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45575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45575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45575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45575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45575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45575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45575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45575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45575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45575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45575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45575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45575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45575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45575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45575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45575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45575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45575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45575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45575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45575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45575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45575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45575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45575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45575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45575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45575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45575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45575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45575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45575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45575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45575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45575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45575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45575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45575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45575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45575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45575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45575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45575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45575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45575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45575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45575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45575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45575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45575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45575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45575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45575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45575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45575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45575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45575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45575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45575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45575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45575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45575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45575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45575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45575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45575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45575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45575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45575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45575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45575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45575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45575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45575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45575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45575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45575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45575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45575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45575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45575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45575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45575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45575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45575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45575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45575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45575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45575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45575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45575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45575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45575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45575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45575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45575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45575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45575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45575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45575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45575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45575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45575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45575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45575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45575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45575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45575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45575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45575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45575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45575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45575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45575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45575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45575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45575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45575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45575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45575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45575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45575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45575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45575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45575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45575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45575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45575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45575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45575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45575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45575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45575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45575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45575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45575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45575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45575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45575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45575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45575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45575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45575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45575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45575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45575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45575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45575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45575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45575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45575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45575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45575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45575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45575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45575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45575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45575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45575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45575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45575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45575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45575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45575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45575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45575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45575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45575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45575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45575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45575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45575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45575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45575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45575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45575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45575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45575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45575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45575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45575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45575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45575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45575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45575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45575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45575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45575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45575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45575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45575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45575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45575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45575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45575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45575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45575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45575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45575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45575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45575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45575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45575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45575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45575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45575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45575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45575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45575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45575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45575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45575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45575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45575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45575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45575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45575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45575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45575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45575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45575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45575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45575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45575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45575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45575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45575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45575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45575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45575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45575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45575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45575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45575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45575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45575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45575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45575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45575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45575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45575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45575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45575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45575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45575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45575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45575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45575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45575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45575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45575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45575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45575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45575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45575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45575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45575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45575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45575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45575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45575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45575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45575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45575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45575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45575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45575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45575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45575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45575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45575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45575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45575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45575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45575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45575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45575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45575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45575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45575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45575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45575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45575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45575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45575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45575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45575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45575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45575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45575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45575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45575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45575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45575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45575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45575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45575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45575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45575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45575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45575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45575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45575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45575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45575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45575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45575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45575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45575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45575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45575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45575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45575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45575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45575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45575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45575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45575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45575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45575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45575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45575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45575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45575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45575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45575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45575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45575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45575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45575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45575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45575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45575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45575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41261-2024</t>
        </is>
      </c>
      <c r="B529" s="1" t="n">
        <v>45559</v>
      </c>
      <c r="C529" s="1" t="n">
        <v>45575</v>
      </c>
      <c r="D529" t="inlineStr">
        <is>
          <t>ÖREBRO LÄN</t>
        </is>
      </c>
      <c r="E529" t="inlineStr">
        <is>
          <t>HALLSBERG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41272-2024</t>
        </is>
      </c>
      <c r="B530" s="1" t="n">
        <v>45559</v>
      </c>
      <c r="C530" s="1" t="n">
        <v>45575</v>
      </c>
      <c r="D530" t="inlineStr">
        <is>
          <t>ÖREBRO LÄN</t>
        </is>
      </c>
      <c r="E530" t="inlineStr">
        <is>
          <t>HALLSBERG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41278-2024</t>
        </is>
      </c>
      <c r="B531" s="1" t="n">
        <v>45559</v>
      </c>
      <c r="C531" s="1" t="n">
        <v>45575</v>
      </c>
      <c r="D531" t="inlineStr">
        <is>
          <t>ÖREBRO LÄN</t>
        </is>
      </c>
      <c r="E531" t="inlineStr">
        <is>
          <t>HALLSBERG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45575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45575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42443-2024</t>
        </is>
      </c>
      <c r="B534" s="1" t="n">
        <v>45565</v>
      </c>
      <c r="C534" s="1" t="n">
        <v>45575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43689-2024</t>
        </is>
      </c>
      <c r="B535" s="1" t="n">
        <v>45569</v>
      </c>
      <c r="C535" s="1" t="n">
        <v>45575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44616-2024</t>
        </is>
      </c>
      <c r="B536" s="1" t="n">
        <v>45574</v>
      </c>
      <c r="C536" s="1" t="n">
        <v>45575</v>
      </c>
      <c r="D536" t="inlineStr">
        <is>
          <t>ÖREBRO LÄN</t>
        </is>
      </c>
      <c r="E536" t="inlineStr">
        <is>
          <t>HALLSBERG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44589-2024</t>
        </is>
      </c>
      <c r="B537" s="1" t="n">
        <v>45574</v>
      </c>
      <c r="C537" s="1" t="n">
        <v>45575</v>
      </c>
      <c r="D537" t="inlineStr">
        <is>
          <t>ÖREBRO LÄN</t>
        </is>
      </c>
      <c r="E537" t="inlineStr">
        <is>
          <t>HALLSBERG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2024-10-10T12:24:08Z</dcterms:created>
  <dcterms:modified xmlns:dcterms="http://purl.org/dc/terms/" xmlns:xsi="http://www.w3.org/2001/XMLSchema-instance" xsi:type="dcterms:W3CDTF">2024-10-10T12:24:08Z</dcterms:modified>
</cp:coreProperties>
</file>