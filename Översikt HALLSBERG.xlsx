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45754</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45754</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45754</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45754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45754</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45754</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45754</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45754</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45754</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45754</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45754</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45754</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45754</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45754</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45754</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45754</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45754</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45754</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45754</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45754</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45754</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45754</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45754</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45754</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45754</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45754</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45754</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45754</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45754</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45754</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45754</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45754</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45754</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45754</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45754</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45754</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45754</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45754</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45754</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45754</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45754</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45754</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45754</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45754</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45754</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45754</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45754</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45754</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45754</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45754</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45754</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45754</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45754</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45754</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45754</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45754</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45754</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45754</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45754</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45754</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45754</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45754</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45754</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45754</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45754</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45754</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45754</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45754</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45754</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45754</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45754</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HYPERLINK("https://klasma.github.io/Logging_181861/artfynd/A 10247-2025 artfynd.xlsx", "A 10247-2025")</f>
        <v/>
      </c>
      <c r="T72">
        <f>HYPERLINK("https://klasma.github.io/Logging_181861/kartor/A 10247-2025 karta.png", "A 10247-2025")</f>
        <v/>
      </c>
      <c r="V72">
        <f>HYPERLINK("https://klasma.github.io/Logging_181861/klagomål/A 10247-2025 FSC-klagomål.docx", "A 10247-2025")</f>
        <v/>
      </c>
      <c r="W72">
        <f>HYPERLINK("https://klasma.github.io/Logging_181861/klagomålsmail/A 10247-2025 FSC-klagomål mail.docx", "A 10247-2025")</f>
        <v/>
      </c>
      <c r="X72">
        <f>HYPERLINK("https://klasma.github.io/Logging_181861/tillsyn/A 10247-2025 tillsynsbegäran.docx", "A 10247-2025")</f>
        <v/>
      </c>
      <c r="Y72">
        <f>HYPERLINK("https://klasma.github.io/Logging_181861/tillsynsmail/A 10247-2025 tillsynsbegäran mail.docx", "A 10247-2025")</f>
        <v/>
      </c>
    </row>
    <row r="73" ht="15" customHeight="1">
      <c r="A73" t="inlineStr">
        <is>
          <t>A 11361-2025</t>
        </is>
      </c>
      <c r="B73" s="1" t="n">
        <v>45726</v>
      </c>
      <c r="C73" s="1" t="n">
        <v>45754</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HYPERLINK("https://klasma.github.io/Logging_181861/artfynd/A 11361-2025 artfynd.xlsx", "A 11361-2025")</f>
        <v/>
      </c>
      <c r="T73">
        <f>HYPERLINK("https://klasma.github.io/Logging_181861/kartor/A 11361-2025 karta.png", "A 11361-2025")</f>
        <v/>
      </c>
      <c r="V73">
        <f>HYPERLINK("https://klasma.github.io/Logging_181861/klagomål/A 11361-2025 FSC-klagomål.docx", "A 11361-2025")</f>
        <v/>
      </c>
      <c r="W73">
        <f>HYPERLINK("https://klasma.github.io/Logging_181861/klagomålsmail/A 11361-2025 FSC-klagomål mail.docx", "A 11361-2025")</f>
        <v/>
      </c>
      <c r="X73">
        <f>HYPERLINK("https://klasma.github.io/Logging_181861/tillsyn/A 11361-2025 tillsynsbegäran.docx", "A 11361-2025")</f>
        <v/>
      </c>
      <c r="Y73">
        <f>HYPERLINK("https://klasma.github.io/Logging_181861/tillsynsmail/A 11361-2025 tillsynsbegäran mail.docx", "A 11361-2025")</f>
        <v/>
      </c>
      <c r="Z73">
        <f>HYPERLINK("https://klasma.github.io/Logging_181861/fåglar/A 11361-2025 prioriterade fågelarter.docx", "A 11361-2025")</f>
        <v/>
      </c>
    </row>
    <row r="74" ht="15" customHeight="1">
      <c r="A74" t="inlineStr">
        <is>
          <t>A 17632-2019</t>
        </is>
      </c>
      <c r="B74" s="1" t="n">
        <v>43556</v>
      </c>
      <c r="C74" s="1" t="n">
        <v>45754</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45754</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45754</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45754</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45754</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45754</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45754</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45754</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45754</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45754</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45754</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45754</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45754</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45754</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45754</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45754</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45754</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45754</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45754</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45754</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45754</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45754</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45754</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45754</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45754</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45754</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45754</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45754</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45754</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45754</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45754</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45754</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45754</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45754</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45754</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45754</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45754</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45754</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45754</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45754</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45754</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45754</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45754</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45754</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45754</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45754</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45754</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45754</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45754</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45754</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45754</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45754</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45754</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45754</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45754</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45754</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45754</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45754</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45754</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45754</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45754</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45754</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45754</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45754</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45754</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45754</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45754</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45754</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45754</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45754</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45754</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45754</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45754</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45754</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45754</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45754</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45754</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45754</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45754</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45754</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45754</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45754</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45754</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45754</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45754</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45754</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45754</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45754</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45754</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45754</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45754</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45754</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45754</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45754</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45754</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45754</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45754</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45754</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45754</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45754</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45754</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45754</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45754</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45754</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45754</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45754</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45754</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45754</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45754</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45754</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45754</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45754</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45754</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45754</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45754</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45754</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45754</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45754</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45754</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45754</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45754</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45754</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45754</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45754</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45754</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45754</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45754</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45754</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45754</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45754</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45754</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45754</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45754</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45754</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45754</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45754</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45754</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45754</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45754</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45754</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45754</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45754</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45754</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45754</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45754</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45754</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45754</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45754</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45754</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45754</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45754</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45754</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45754</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45754</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45754</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45754</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45754</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45754</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45754</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45754</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45754</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45754</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45754</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45754</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45754</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45754</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45754</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45754</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45754</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45754</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45754</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45754</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45754</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45754</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45754</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45754</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45754</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45754</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45754</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45754</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45754</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45754</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45754</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45754</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45754</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45754</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45754</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45754</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45754</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45754</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45754</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45754</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45754</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45754</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45754</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45754</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45754</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45754</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45754</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45754</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45754</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45754</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45754</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45754</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45754</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45754</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45754</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45754</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45754</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45754</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45754</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45754</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45754</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45754</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45754</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45754</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45754</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45754</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45754</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45754</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45754</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45754</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45754</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45754</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45754</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45754</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45754</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45754</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45754</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45754</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45754</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45754</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45754</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45754</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45754</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45754</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45754</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45754</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45754</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45754</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45754</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45754</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45754</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45754</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45754</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45754</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45754</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45754</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45754</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45754</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45754</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45754</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45754</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45754</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45754</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45754</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45754</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45754</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45754</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45754</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45754</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45754</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45754</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45754</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45754</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45754</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45754</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45754</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45754</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45754</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45754</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45754</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45754</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45754</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45754</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45754</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45754</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45754</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45754</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45754</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45754</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45754</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45754</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45754</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45754</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45754</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45754</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45754</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45754</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45754</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45754</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45754</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45754</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45754</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45754</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45754</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45754</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45754</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45754</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45754</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45754</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45754</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45754</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45754</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45754</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45754</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45754</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45754</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45754</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45754</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45754</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45754</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45754</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45754</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45754</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45754</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45754</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45754</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45754</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45754</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45754</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45754</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45754</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45754</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45754</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45754</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45754</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45754</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45754</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45754</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45754</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45754</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45754</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45754</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45754</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45754</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45754</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45754</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45754</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45754</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45754</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45754</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45754</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45754</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45754</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45754</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45754</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45754</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45754</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45754</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45754</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45754</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45754</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45754</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45754</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45754</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45754</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45754</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45754</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45754</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45754</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45754</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45754</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45754</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45754</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45754</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45754</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45754</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45754</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45754</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45754</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45754</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45754</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45754</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45754</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45754</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45754</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45754</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45754</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45754</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45754</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45754</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45754</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45754</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45754</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45754</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45754</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45754</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45754</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45754</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45754</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45754</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45754</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45754</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45754</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45754</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45754</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45754</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45754</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45754</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45754</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45754</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45754</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45754</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45754</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45754</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45754</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45754</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45754</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45754</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45754</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45754</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45754</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45754</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45754</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45754</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45754</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45754</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45754</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45754</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45754</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45754</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45754</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45754</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45754</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45754</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45754</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45754</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45754</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45754</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45754</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45754</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45754</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45754</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45754</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45754</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45754</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45754</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45754</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45754</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45754</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45754</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45754</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45754</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45754</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45754</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45754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45754</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45754</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45754</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45754</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45754</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45754</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45754</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45754</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45754</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45754</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45754</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45754</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45754</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45754</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45754</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45754</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45754</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45754</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45754</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45754</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45754</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45754</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45754</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45754</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45754</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45754</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45754</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45754</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45754</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45754</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45754</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45754</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45754</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45754</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45754</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45754</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45754</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45754</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45754</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45754</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45754</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45754</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45754</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45754</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45754</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45754</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45754</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45754</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45754</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45754</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45754</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45754</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45754</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45754</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45754</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45754</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45754</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45754</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45754</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45754</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45754</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45754</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45754</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45754</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45754</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45754</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45754</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45754</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45754</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45754</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45754</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45754</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45754</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45754</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45754</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45754</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45754</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45754</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45754</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11355-2025</t>
        </is>
      </c>
      <c r="B600" s="1" t="n">
        <v>45726</v>
      </c>
      <c r="C600" s="1" t="n">
        <v>45754</v>
      </c>
      <c r="D600" t="inlineStr">
        <is>
          <t>ÖREBRO LÄN</t>
        </is>
      </c>
      <c r="E600" t="inlineStr">
        <is>
          <t>HALLSBERG</t>
        </is>
      </c>
      <c r="F600" t="inlineStr">
        <is>
          <t>Sveaskog</t>
        </is>
      </c>
      <c r="G600" t="n">
        <v>5.8</v>
      </c>
      <c r="H600" t="n">
        <v>0</v>
      </c>
      <c r="I600" t="n">
        <v>0</v>
      </c>
      <c r="J600" t="n">
        <v>0</v>
      </c>
      <c r="K600" t="n">
        <v>0</v>
      </c>
      <c r="L600" t="n">
        <v>0</v>
      </c>
      <c r="M600" t="n">
        <v>0</v>
      </c>
      <c r="N600" t="n">
        <v>0</v>
      </c>
      <c r="O600" t="n">
        <v>0</v>
      </c>
      <c r="P600" t="n">
        <v>0</v>
      </c>
      <c r="Q600" t="n">
        <v>0</v>
      </c>
      <c r="R600" s="2" t="inlineStr"/>
    </row>
    <row r="601" ht="15" customHeight="1">
      <c r="A601" t="inlineStr">
        <is>
          <t>A 11416-2025</t>
        </is>
      </c>
      <c r="B601" s="1" t="n">
        <v>45726</v>
      </c>
      <c r="C601" s="1" t="n">
        <v>45754</v>
      </c>
      <c r="D601" t="inlineStr">
        <is>
          <t>ÖREBRO LÄN</t>
        </is>
      </c>
      <c r="E601" t="inlineStr">
        <is>
          <t>HALLSBERG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45754</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45754</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45754</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45754</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12019-2025</t>
        </is>
      </c>
      <c r="B606" s="1" t="n">
        <v>45728</v>
      </c>
      <c r="C606" s="1" t="n">
        <v>45754</v>
      </c>
      <c r="D606" t="inlineStr">
        <is>
          <t>ÖREBRO LÄN</t>
        </is>
      </c>
      <c r="E606" t="inlineStr">
        <is>
          <t>HALLSBERG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11984-2025</t>
        </is>
      </c>
      <c r="B607" s="1" t="n">
        <v>45728</v>
      </c>
      <c r="C607" s="1" t="n">
        <v>45754</v>
      </c>
      <c r="D607" t="inlineStr">
        <is>
          <t>ÖREBRO LÄN</t>
        </is>
      </c>
      <c r="E607" t="inlineStr">
        <is>
          <t>HALLSBERG</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12008-2025</t>
        </is>
      </c>
      <c r="B608" s="1" t="n">
        <v>45728</v>
      </c>
      <c r="C608" s="1" t="n">
        <v>45754</v>
      </c>
      <c r="D608" t="inlineStr">
        <is>
          <t>ÖREBRO LÄN</t>
        </is>
      </c>
      <c r="E608" t="inlineStr">
        <is>
          <t>HALLSBERG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45754</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12018-2025</t>
        </is>
      </c>
      <c r="B610" s="1" t="n">
        <v>45728</v>
      </c>
      <c r="C610" s="1" t="n">
        <v>45754</v>
      </c>
      <c r="D610" t="inlineStr">
        <is>
          <t>ÖREBRO LÄN</t>
        </is>
      </c>
      <c r="E610" t="inlineStr">
        <is>
          <t>HALLSBERG</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45754</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45754</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45754</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45754</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45754</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45754</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45754</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45754</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45754</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16441-2025</t>
        </is>
      </c>
      <c r="B620" s="1" t="n">
        <v>45751</v>
      </c>
      <c r="C620" s="1" t="n">
        <v>45754</v>
      </c>
      <c r="D620" t="inlineStr">
        <is>
          <t>ÖREBRO LÄN</t>
        </is>
      </c>
      <c r="E620" t="inlineStr">
        <is>
          <t>HALLSBERG</t>
        </is>
      </c>
      <c r="F620" t="inlineStr">
        <is>
          <t>Sveaskog</t>
        </is>
      </c>
      <c r="G620" t="n">
        <v>2.2</v>
      </c>
      <c r="H620" t="n">
        <v>0</v>
      </c>
      <c r="I620" t="n">
        <v>0</v>
      </c>
      <c r="J620" t="n">
        <v>0</v>
      </c>
      <c r="K620" t="n">
        <v>0</v>
      </c>
      <c r="L620" t="n">
        <v>0</v>
      </c>
      <c r="M620" t="n">
        <v>0</v>
      </c>
      <c r="N620" t="n">
        <v>0</v>
      </c>
      <c r="O620" t="n">
        <v>0</v>
      </c>
      <c r="P620" t="n">
        <v>0</v>
      </c>
      <c r="Q620" t="n">
        <v>0</v>
      </c>
      <c r="R620" s="2" t="inlineStr"/>
    </row>
    <row r="621">
      <c r="A621" t="inlineStr">
        <is>
          <t>A 16445-2025</t>
        </is>
      </c>
      <c r="B621" s="1" t="n">
        <v>45751</v>
      </c>
      <c r="C621" s="1" t="n">
        <v>45754</v>
      </c>
      <c r="D621" t="inlineStr">
        <is>
          <t>ÖREBRO LÄN</t>
        </is>
      </c>
      <c r="E621" t="inlineStr">
        <is>
          <t>HALLSBERG</t>
        </is>
      </c>
      <c r="F621" t="inlineStr">
        <is>
          <t>Sveaskog</t>
        </is>
      </c>
      <c r="G621" t="n">
        <v>15.8</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2025-04-07T16:48:12Z</dcterms:created>
  <dcterms:modified xmlns:dcterms="http://purl.org/dc/terms/" xmlns:xsi="http://www.w3.org/2001/XMLSchema-instance" xsi:type="dcterms:W3CDTF">2025-04-07T16:48:12Z</dcterms:modified>
</cp:coreProperties>
</file>