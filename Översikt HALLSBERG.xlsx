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676-2025</t>
        </is>
      </c>
      <c r="B2" t="inlineStr">
        <is>
          <t>samrådsanmälan</t>
        </is>
      </c>
      <c r="C2" t="inlineStr">
        <is>
          <t>Annan skogsbruksåtgärd</t>
        </is>
      </c>
      <c r="D2" s="1" t="n">
        <v>45716</v>
      </c>
      <c r="E2" s="1" t="n">
        <v>46222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2">
        <f>HYPERLINK("https://klasma.github.io/Logging_1861/artfynd/S 676-2025 artfynd.xlsx", "S 676-2025")</f>
        <v/>
      </c>
      <c r="W2">
        <f>HYPERLINK("https://klasma.github.io/Logging_1861/kartor/S 676-2025 karta.png", "S 676-2025")</f>
        <v/>
      </c>
      <c r="Y2">
        <f>HYPERLINK("https://klasma.github.io/Logging_1861/klagomål/S 676-2025 FSC-klagomål.docx", "S 676-2025")</f>
        <v/>
      </c>
      <c r="Z2">
        <f>HYPERLINK("https://klasma.github.io/Logging_1861/klagomålsmail/S 676-2025 FSC-klagomål mail.docx", "S 676-2025")</f>
        <v/>
      </c>
      <c r="AA2">
        <f>HYPERLINK("https://klasma.github.io/Logging_1861/tillsyn/S 676-2025 tillsynsbegäran.docx", "S 676-2025")</f>
        <v/>
      </c>
      <c r="AB2">
        <f>HYPERLINK("https://klasma.github.io/Logging_1861/tillsynsmail/S 676-2025 tillsynsbegäran mail.docx", "S 676-2025")</f>
        <v/>
      </c>
      <c r="AC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46222</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3">
        <f>HYPERLINK("https://klasma.github.io/Logging_1861/artfynd/S 1157-2022 artfynd.xlsx", "S 1157-2022")</f>
        <v/>
      </c>
      <c r="W3">
        <f>HYPERLINK("https://klasma.github.io/Logging_1861/kartor/S 1157-2022 karta.png", "S 1157-2022")</f>
        <v/>
      </c>
      <c r="Y3">
        <f>HYPERLINK("https://klasma.github.io/Logging_1861/klagomål/S 1157-2022 FSC-klagomål.docx", "S 1157-2022")</f>
        <v/>
      </c>
      <c r="Z3">
        <f>HYPERLINK("https://klasma.github.io/Logging_1861/klagomålsmail/S 1157-2022 FSC-klagomål mail.docx", "S 1157-2022")</f>
        <v/>
      </c>
      <c r="AA3">
        <f>HYPERLINK("https://klasma.github.io/Logging_1861/tillsyn/S 1157-2022 tillsynsbegäran.docx", "S 1157-2022")</f>
        <v/>
      </c>
      <c r="AB3">
        <f>HYPERLINK("https://klasma.github.io/Logging_1861/tillsynsmail/S 1157-2022 tillsynsbegäran mail.docx", "S 1157-2022")</f>
        <v/>
      </c>
      <c r="AC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46222</v>
      </c>
      <c r="F4" t="inlineStr">
        <is>
          <t>ÖREBRO LÄN</t>
        </is>
      </c>
      <c r="G4" t="inlineStr">
        <is>
          <t>HALLSBERG</t>
        </is>
      </c>
      <c r="I4" t="n">
        <v>15.1</v>
      </c>
      <c r="J4" t="n">
        <v>2</v>
      </c>
      <c r="K4" t="n">
        <v>6</v>
      </c>
      <c r="L4" t="n">
        <v>8</v>
      </c>
      <c r="M4" t="n">
        <v>1</v>
      </c>
      <c r="N4" t="n">
        <v>0</v>
      </c>
      <c r="O4" t="n">
        <v>0</v>
      </c>
      <c r="P4" t="n">
        <v>0</v>
      </c>
      <c r="Q4" t="n">
        <v>9</v>
      </c>
      <c r="R4" t="n">
        <v>1</v>
      </c>
      <c r="S4" t="n">
        <v>16</v>
      </c>
      <c r="T4" t="n">
        <v>66</v>
      </c>
      <c r="U4" s="2" t="inlineStr">
        <is>
          <t>Garnlav
Dropptaggsvamp
Kortskaftad ärgspik
Motaggsvamp
Orange taggsvamp
Skuggblåslav
Talltagel
Talltita
Vedskivlav
Björksplintborre
Blåmossa
Dolkstekelsglasvinge
Mindre märgborre
Thomsons trägnagare
Vanlig flatbagge
Spillkråka</t>
        </is>
      </c>
      <c r="V4">
        <f>HYPERLINK("https://klasma.github.io/Logging_1861/artfynd/A 37787-2025 artfynd.xlsx", "A 37787-2025")</f>
        <v/>
      </c>
      <c r="W4">
        <f>HYPERLINK("https://klasma.github.io/Logging_1861/kartor/A 37787-2025 karta.png", "A 37787-2025")</f>
        <v/>
      </c>
      <c r="Y4">
        <f>HYPERLINK("https://klasma.github.io/Logging_1861/klagomål/A 37787-2025 FSC-klagomål.docx", "A 37787-2025")</f>
        <v/>
      </c>
      <c r="Z4">
        <f>HYPERLINK("https://klasma.github.io/Logging_1861/klagomålsmail/A 37787-2025 FSC-klagomål mail.docx", "A 37787-2025")</f>
        <v/>
      </c>
      <c r="AA4">
        <f>HYPERLINK("https://klasma.github.io/Logging_1861/tillsyn/A 37787-2025 tillsynsbegäran.docx", "A 37787-2025")</f>
        <v/>
      </c>
      <c r="AB4">
        <f>HYPERLINK("https://klasma.github.io/Logging_1861/tillsynsmail/A 37787-2025 tillsynsbegäran mail.docx", "A 37787-2025")</f>
        <v/>
      </c>
      <c r="AC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46222</v>
      </c>
      <c r="F5" t="inlineStr">
        <is>
          <t>ÖREBRO LÄN</t>
        </is>
      </c>
      <c r="G5" t="inlineStr">
        <is>
          <t>HALLSBERG</t>
        </is>
      </c>
      <c r="I5" t="n">
        <v>2.9</v>
      </c>
      <c r="J5" t="n">
        <v>2</v>
      </c>
      <c r="K5" t="n">
        <v>7</v>
      </c>
      <c r="L5" t="n">
        <v>3</v>
      </c>
      <c r="M5" t="n">
        <v>0</v>
      </c>
      <c r="N5" t="n">
        <v>1</v>
      </c>
      <c r="O5" t="n">
        <v>0</v>
      </c>
      <c r="P5" t="n">
        <v>0</v>
      </c>
      <c r="Q5" t="n">
        <v>4</v>
      </c>
      <c r="R5" t="n">
        <v>1</v>
      </c>
      <c r="S5" t="n">
        <v>14</v>
      </c>
      <c r="T5" t="n">
        <v>35</v>
      </c>
      <c r="U5" s="2" t="inlineStr">
        <is>
          <t>Ask
Ekticka
Korallticka
Scharlakansvaxing
Gulfotsskölding
Hasselticka
Läderskål
Stor aspticka
Stubbspretmossa
Svart trolldruva
Vätteros
Blåsippa
Ormbär
Gullviva</t>
        </is>
      </c>
      <c r="V5">
        <f>HYPERLINK("https://klasma.github.io/Logging_1861/artfynd/A 61646-2023 artfynd.xlsx", "A 61646-2023")</f>
        <v/>
      </c>
      <c r="W5">
        <f>HYPERLINK("https://klasma.github.io/Logging_1861/kartor/A 61646-2023 karta.png", "A 61646-2023")</f>
        <v/>
      </c>
      <c r="Y5">
        <f>HYPERLINK("https://klasma.github.io/Logging_1861/klagomål/A 61646-2023 FSC-klagomål.docx", "A 61646-2023")</f>
        <v/>
      </c>
      <c r="Z5">
        <f>HYPERLINK("https://klasma.github.io/Logging_1861/klagomålsmail/A 61646-2023 FSC-klagomål mail.docx", "A 61646-2023")</f>
        <v/>
      </c>
      <c r="AA5">
        <f>HYPERLINK("https://klasma.github.io/Logging_1861/tillsyn/A 61646-2023 tillsynsbegäran.docx", "A 61646-2023")</f>
        <v/>
      </c>
      <c r="AB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s="2" t="inlineStr">
        <is>
          <t>Tornseglare
Gulsparv
Järnsparv
Bergsslok
Blåbär
Ekorrbär
Humleblomster
Kärrviol
Skogsstjärna
Vitsippa
Röd glada
Skogsduva
Trana
Törnskata</t>
        </is>
      </c>
      <c r="V6">
        <f>HYPERLINK("https://klasma.github.io/Logging_1861/artfynd/A 8346-2024 artfynd.xlsx", "A 8346-2024")</f>
        <v/>
      </c>
      <c r="W6">
        <f>HYPERLINK("https://klasma.github.io/Logging_1861/kartor/A 8346-2024 karta.png", "A 8346-2024")</f>
        <v/>
      </c>
      <c r="Y6">
        <f>HYPERLINK("https://klasma.github.io/Logging_1861/klagomål/A 8346-2024 FSC-klagomål.docx", "A 8346-2024")</f>
        <v/>
      </c>
      <c r="Z6">
        <f>HYPERLINK("https://klasma.github.io/Logging_1861/klagomålsmail/A 8346-2024 FSC-klagomål mail.docx", "A 8346-2024")</f>
        <v/>
      </c>
      <c r="AA6">
        <f>HYPERLINK("https://klasma.github.io/Logging_1861/tillsyn/A 8346-2024 tillsynsbegäran.docx", "A 8346-2024")</f>
        <v/>
      </c>
      <c r="AB6">
        <f>HYPERLINK("https://klasma.github.io/Logging_1861/tillsynsmail/A 8346-2024 tillsynsbegäran mail.docx", "A 8346-2024")</f>
        <v/>
      </c>
      <c r="AC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s="2" t="inlineStr">
        <is>
          <t>Ask
Skogsalm
Fältgentiana
Vårärt
Hässleklocka
Svart trolldruva
Tibast
Tvåblad
Underviol
Vätteros
Blåsippa
Brudsporre
Gullviva</t>
        </is>
      </c>
      <c r="V7">
        <f>HYPERLINK("https://klasma.github.io/Logging_1861/artfynd/S 1785-2022 artfynd.xlsx", "S 1785-2022")</f>
        <v/>
      </c>
      <c r="W7">
        <f>HYPERLINK("https://klasma.github.io/Logging_1861/kartor/S 1785-2022 karta.png", "S 1785-2022")</f>
        <v/>
      </c>
      <c r="Y7">
        <f>HYPERLINK("https://klasma.github.io/Logging_1861/klagomål/S 1785-2022 FSC-klagomål.docx", "S 1785-2022")</f>
        <v/>
      </c>
      <c r="Z7">
        <f>HYPERLINK("https://klasma.github.io/Logging_1861/klagomålsmail/S 1785-2022 FSC-klagomål mail.docx", "S 1785-2022")</f>
        <v/>
      </c>
      <c r="AA7">
        <f>HYPERLINK("https://klasma.github.io/Logging_1861/tillsyn/S 1785-2022 tillsynsbegäran.docx", "S 1785-2022")</f>
        <v/>
      </c>
      <c r="AB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46222</v>
      </c>
      <c r="F8" t="inlineStr">
        <is>
          <t>ÖREBRO LÄN</t>
        </is>
      </c>
      <c r="G8" t="inlineStr">
        <is>
          <t>HALLSBERG</t>
        </is>
      </c>
      <c r="I8" t="n">
        <v>18.2</v>
      </c>
      <c r="J8" t="n">
        <v>11</v>
      </c>
      <c r="K8" t="n">
        <v>1</v>
      </c>
      <c r="L8" t="n">
        <v>3</v>
      </c>
      <c r="M8" t="n">
        <v>0</v>
      </c>
      <c r="N8" t="n">
        <v>0</v>
      </c>
      <c r="O8" t="n">
        <v>0</v>
      </c>
      <c r="P8" t="n">
        <v>0</v>
      </c>
      <c r="Q8" t="n">
        <v>3</v>
      </c>
      <c r="R8" t="n">
        <v>0</v>
      </c>
      <c r="S8" t="n">
        <v>12</v>
      </c>
      <c r="T8" t="n">
        <v>21</v>
      </c>
      <c r="U8" s="2" t="inlineStr">
        <is>
          <t>Entita
Gulsparv
Nordfladdermus
Tibast
Blåsippa
Spillkråka
Dvärgpipistrell
Kråka
Större brunfladdermus
Vattenfladdermus
Huggorm
Vanlig groda</t>
        </is>
      </c>
      <c r="V8">
        <f>HYPERLINK("https://klasma.github.io/Logging_1861/artfynd/A 46392-2023 artfynd.xlsx", "A 46392-2023")</f>
        <v/>
      </c>
      <c r="W8">
        <f>HYPERLINK("https://klasma.github.io/Logging_1861/kartor/A 46392-2023 karta.png", "A 46392-2023")</f>
        <v/>
      </c>
      <c r="Y8">
        <f>HYPERLINK("https://klasma.github.io/Logging_1861/klagomål/A 46392-2023 FSC-klagomål.docx", "A 46392-2023")</f>
        <v/>
      </c>
      <c r="Z8">
        <f>HYPERLINK("https://klasma.github.io/Logging_1861/klagomålsmail/A 46392-2023 FSC-klagomål mail.docx", "A 46392-2023")</f>
        <v/>
      </c>
      <c r="AA8">
        <f>HYPERLINK("https://klasma.github.io/Logging_1861/tillsyn/A 46392-2023 tillsynsbegäran.docx", "A 46392-2023")</f>
        <v/>
      </c>
      <c r="AB8">
        <f>HYPERLINK("https://klasma.github.io/Logging_1861/tillsynsmail/A 46392-2023 tillsynsbegäran mail.docx", "A 46392-2023")</f>
        <v/>
      </c>
      <c r="AC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46222</v>
      </c>
      <c r="F9" t="inlineStr">
        <is>
          <t>ÖREBRO LÄN</t>
        </is>
      </c>
      <c r="G9" t="inlineStr">
        <is>
          <t>HALLSBERG</t>
        </is>
      </c>
      <c r="I9" t="n">
        <v>1.5</v>
      </c>
      <c r="J9" t="n">
        <v>7</v>
      </c>
      <c r="K9" t="n">
        <v>2</v>
      </c>
      <c r="L9" t="n">
        <v>3</v>
      </c>
      <c r="M9" t="n">
        <v>0</v>
      </c>
      <c r="N9" t="n">
        <v>1</v>
      </c>
      <c r="O9" t="n">
        <v>0</v>
      </c>
      <c r="P9" t="n">
        <v>0</v>
      </c>
      <c r="Q9" t="n">
        <v>4</v>
      </c>
      <c r="R9" t="n">
        <v>1</v>
      </c>
      <c r="S9" t="n">
        <v>12</v>
      </c>
      <c r="T9" t="n">
        <v>12</v>
      </c>
      <c r="U9" s="2" t="inlineStr">
        <is>
          <t>Ask
Grönsångare
Gulsparv
Skogsklocka
Svart trolldruva
Tibast
Skärmstarr
Spillkråka
Skogsduva
Törnskata
Grönvit nattviol
Gullviva</t>
        </is>
      </c>
      <c r="V9">
        <f>HYPERLINK("https://klasma.github.io/Logging_1861/artfynd/A 10247-2025 artfynd.xlsx", "A 10247-2025")</f>
        <v/>
      </c>
      <c r="W9">
        <f>HYPERLINK("https://klasma.github.io/Logging_1861/kartor/A 10247-2025 karta.png", "A 10247-2025")</f>
        <v/>
      </c>
      <c r="Y9">
        <f>HYPERLINK("https://klasma.github.io/Logging_1861/klagomål/A 10247-2025 FSC-klagomål.docx", "A 10247-2025")</f>
        <v/>
      </c>
      <c r="Z9">
        <f>HYPERLINK("https://klasma.github.io/Logging_1861/klagomålsmail/A 10247-2025 FSC-klagomål mail.docx", "A 10247-2025")</f>
        <v/>
      </c>
      <c r="AA9">
        <f>HYPERLINK("https://klasma.github.io/Logging_1861/tillsyn/A 10247-2025 tillsynsbegäran.docx", "A 10247-2025")</f>
        <v/>
      </c>
      <c r="AB9">
        <f>HYPERLINK("https://klasma.github.io/Logging_1861/tillsynsmail/A 10247-2025 tillsynsbegäran mail.docx", "A 10247-2025")</f>
        <v/>
      </c>
      <c r="AC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46222</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s="2" t="inlineStr">
        <is>
          <t>Grangråticka
Kattfotslav
Motaggsvamp
Björksplintborre
Blåmossa
Vedticka
Zontaggsvamp
Blåsippa
Kungsfågel
Fläcknycklar
Revlummer</t>
        </is>
      </c>
      <c r="V10">
        <f>HYPERLINK("https://klasma.github.io/Logging_1861/artfynd/S 210-2024 artfynd.xlsx", "S 210-2024")</f>
        <v/>
      </c>
      <c r="W10">
        <f>HYPERLINK("https://klasma.github.io/Logging_1861/kartor/S 210-2024 karta.png", "S 210-2024")</f>
        <v/>
      </c>
      <c r="Y10">
        <f>HYPERLINK("https://klasma.github.io/Logging_1861/klagomål/S 210-2024 FSC-klagomål.docx", "S 210-2024")</f>
        <v/>
      </c>
      <c r="Z10">
        <f>HYPERLINK("https://klasma.github.io/Logging_1861/klagomålsmail/S 210-2024 FSC-klagomål mail.docx", "S 210-2024")</f>
        <v/>
      </c>
      <c r="AA10">
        <f>HYPERLINK("https://klasma.github.io/Logging_1861/tillsyn/S 210-2024 tillsynsbegäran.docx", "S 210-2024")</f>
        <v/>
      </c>
      <c r="AB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46222</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s="2" t="inlineStr">
        <is>
          <t>Talltita
Vedtrappmossa
Björksplintborre
Blåmossa
Kornknutmossa
Mindre märgborre
Spillkråka
Gröngöling
Orre
Revlummer</t>
        </is>
      </c>
      <c r="V11">
        <f>HYPERLINK("https://klasma.github.io/Logging_1861/artfynd/A 37785-2025 artfynd.xlsx", "A 37785-2025")</f>
        <v/>
      </c>
      <c r="W11">
        <f>HYPERLINK("https://klasma.github.io/Logging_1861/kartor/A 37785-2025 karta.png", "A 37785-2025")</f>
        <v/>
      </c>
      <c r="Y11">
        <f>HYPERLINK("https://klasma.github.io/Logging_1861/klagomål/A 37785-2025 FSC-klagomål.docx", "A 37785-2025")</f>
        <v/>
      </c>
      <c r="Z11">
        <f>HYPERLINK("https://klasma.github.io/Logging_1861/klagomålsmail/A 37785-2025 FSC-klagomål mail.docx", "A 37785-2025")</f>
        <v/>
      </c>
      <c r="AA11">
        <f>HYPERLINK("https://klasma.github.io/Logging_1861/tillsyn/A 37785-2025 tillsynsbegäran.docx", "A 37785-2025")</f>
        <v/>
      </c>
      <c r="AB11">
        <f>HYPERLINK("https://klasma.github.io/Logging_1861/tillsynsmail/A 37785-2025 tillsynsbegäran mail.docx", "A 37785-2025")</f>
        <v/>
      </c>
      <c r="AC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46222</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s="2" t="inlineStr">
        <is>
          <t>Kalkkärrsgrynsnäcka
Majviva
Gräsull
Tibast
Tvåblad
Blåsippa
Brudsporre
Dubbelnycklar
Vanliga ängsnycklar
Ängsnycklar</t>
        </is>
      </c>
      <c r="V12">
        <f>HYPERLINK("https://klasma.github.io/Logging_1861/artfynd/S 4776-2024 artfynd.xlsx", "S 4776-2024")</f>
        <v/>
      </c>
      <c r="W12">
        <f>HYPERLINK("https://klasma.github.io/Logging_1861/kartor/S 4776-2024 karta.png", "S 4776-2024")</f>
        <v/>
      </c>
      <c r="Y12">
        <f>HYPERLINK("https://klasma.github.io/Logging_1861/klagomål/S 4776-2024 FSC-klagomål.docx", "S 4776-2024")</f>
        <v/>
      </c>
      <c r="Z12">
        <f>HYPERLINK("https://klasma.github.io/Logging_1861/klagomålsmail/S 4776-2024 FSC-klagomål mail.docx", "S 4776-2024")</f>
        <v/>
      </c>
      <c r="AA12">
        <f>HYPERLINK("https://klasma.github.io/Logging_1861/tillsyn/S 4776-2024 tillsynsbegäran.docx", "S 4776-2024")</f>
        <v/>
      </c>
      <c r="AB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46222</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s="2" t="inlineStr">
        <is>
          <t>Stjärtand
Tofsvipa
Bläsand
Enkelbeckasin
Kricka
Sädesärla
Havsörn
Sångsvan
Trana</t>
        </is>
      </c>
      <c r="V13">
        <f>HYPERLINK("https://klasma.github.io/Logging_1861/artfynd/A 21343-2022 artfynd.xlsx", "A 21343-2022")</f>
        <v/>
      </c>
      <c r="W13">
        <f>HYPERLINK("https://klasma.github.io/Logging_1861/kartor/A 21343-2022 karta.png", "A 21343-2022")</f>
        <v/>
      </c>
      <c r="Y13">
        <f>HYPERLINK("https://klasma.github.io/Logging_1861/klagomål/A 21343-2022 FSC-klagomål.docx", "A 21343-2022")</f>
        <v/>
      </c>
      <c r="Z13">
        <f>HYPERLINK("https://klasma.github.io/Logging_1861/klagomålsmail/A 21343-2022 FSC-klagomål mail.docx", "A 21343-2022")</f>
        <v/>
      </c>
      <c r="AA13">
        <f>HYPERLINK("https://klasma.github.io/Logging_1861/tillsyn/A 21343-2022 tillsynsbegäran.docx", "A 21343-2022")</f>
        <v/>
      </c>
      <c r="AB13">
        <f>HYPERLINK("https://klasma.github.io/Logging_1861/tillsynsmail/A 21343-2022 tillsynsbegäran mail.docx", "A 21343-2022")</f>
        <v/>
      </c>
      <c r="AC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46222</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s="2" t="inlineStr">
        <is>
          <t>Brunpudrad nållav
Bronshjon
Kornknutmossa
Mindre märgborre
Thomsons trägnagare
Vanlig flatbagge
Vågbandad barkbock
Spillkråka
Tjäder</t>
        </is>
      </c>
      <c r="V14">
        <f>HYPERLINK("https://klasma.github.io/Logging_1861/artfynd/A 34275-2025 artfynd.xlsx", "A 34275-2025")</f>
        <v/>
      </c>
      <c r="W14">
        <f>HYPERLINK("https://klasma.github.io/Logging_1861/kartor/A 34275-2025 karta.png", "A 34275-2025")</f>
        <v/>
      </c>
      <c r="Y14">
        <f>HYPERLINK("https://klasma.github.io/Logging_1861/klagomål/A 34275-2025 FSC-klagomål.docx", "A 34275-2025")</f>
        <v/>
      </c>
      <c r="Z14">
        <f>HYPERLINK("https://klasma.github.io/Logging_1861/klagomålsmail/A 34275-2025 FSC-klagomål mail.docx", "A 34275-2025")</f>
        <v/>
      </c>
      <c r="AA14">
        <f>HYPERLINK("https://klasma.github.io/Logging_1861/tillsyn/A 34275-2025 tillsynsbegäran.docx", "A 34275-2025")</f>
        <v/>
      </c>
      <c r="AB14">
        <f>HYPERLINK("https://klasma.github.io/Logging_1861/tillsynsmail/A 34275-2025 tillsynsbegäran mail.docx", "A 34275-2025")</f>
        <v/>
      </c>
      <c r="AC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46222</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s="2" t="inlineStr">
        <is>
          <t>Motaggsvamp
Talltita
Bronshjon
Thomsons trägnagare
Spillkråka
Tjäder
Kungsfågel
Fläcknycklar</t>
        </is>
      </c>
      <c r="V15">
        <f>HYPERLINK("https://klasma.github.io/Logging_1861/artfynd/A 52525-2025 artfynd.xlsx", "A 52525-2025")</f>
        <v/>
      </c>
      <c r="W15">
        <f>HYPERLINK("https://klasma.github.io/Logging_1861/kartor/A 52525-2025 karta.png", "A 52525-2025")</f>
        <v/>
      </c>
      <c r="Y15">
        <f>HYPERLINK("https://klasma.github.io/Logging_1861/klagomål/A 52525-2025 FSC-klagomål.docx", "A 52525-2025")</f>
        <v/>
      </c>
      <c r="Z15">
        <f>HYPERLINK("https://klasma.github.io/Logging_1861/klagomålsmail/A 52525-2025 FSC-klagomål mail.docx", "A 52525-2025")</f>
        <v/>
      </c>
      <c r="AA15">
        <f>HYPERLINK("https://klasma.github.io/Logging_1861/tillsyn/A 52525-2025 tillsynsbegäran.docx", "A 52525-2025")</f>
        <v/>
      </c>
      <c r="AB15">
        <f>HYPERLINK("https://klasma.github.io/Logging_1861/tillsynsmail/A 52525-2025 tillsynsbegäran mail.docx", "A 52525-2025")</f>
        <v/>
      </c>
      <c r="AC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46222</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s="2" t="inlineStr">
        <is>
          <t>Brunlångöra
Gulsparv
Göktyta
Nordfladdermus
Dvärgpipistrell
Större brunfladdermus
Vattenfladdermus</t>
        </is>
      </c>
      <c r="V16">
        <f>HYPERLINK("https://klasma.github.io/Logging_1861/artfynd/A 29125-2023 artfynd.xlsx", "A 29125-2023")</f>
        <v/>
      </c>
      <c r="W16">
        <f>HYPERLINK("https://klasma.github.io/Logging_1861/kartor/A 29125-2023 karta.png", "A 29125-2023")</f>
        <v/>
      </c>
      <c r="Y16">
        <f>HYPERLINK("https://klasma.github.io/Logging_1861/klagomål/A 29125-2023 FSC-klagomål.docx", "A 29125-2023")</f>
        <v/>
      </c>
      <c r="Z16">
        <f>HYPERLINK("https://klasma.github.io/Logging_1861/klagomålsmail/A 29125-2023 FSC-klagomål mail.docx", "A 29125-2023")</f>
        <v/>
      </c>
      <c r="AA16">
        <f>HYPERLINK("https://klasma.github.io/Logging_1861/tillsyn/A 29125-2023 tillsynsbegäran.docx", "A 29125-2023")</f>
        <v/>
      </c>
      <c r="AB16">
        <f>HYPERLINK("https://klasma.github.io/Logging_1861/tillsynsmail/A 29125-2023 tillsynsbegäran mail.docx", "A 29125-2023")</f>
        <v/>
      </c>
      <c r="AC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46222</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s="2" t="inlineStr">
        <is>
          <t>Ask
Skogsalm
Strutbräken
Svart trolldruva
Tibast
Vätteros
Blåsippa</t>
        </is>
      </c>
      <c r="V17">
        <f>HYPERLINK("https://klasma.github.io/Logging_1861/artfynd/S 1791-2022 artfynd.xlsx", "S 1791-2022")</f>
        <v/>
      </c>
      <c r="W17">
        <f>HYPERLINK("https://klasma.github.io/Logging_1861/kartor/S 1791-2022 karta.png", "S 1791-2022")</f>
        <v/>
      </c>
      <c r="Y17">
        <f>HYPERLINK("https://klasma.github.io/Logging_1861/klagomål/S 1791-2022 FSC-klagomål.docx", "S 1791-2022")</f>
        <v/>
      </c>
      <c r="Z17">
        <f>HYPERLINK("https://klasma.github.io/Logging_1861/klagomålsmail/S 1791-2022 FSC-klagomål mail.docx", "S 1791-2022")</f>
        <v/>
      </c>
      <c r="AA17">
        <f>HYPERLINK("https://klasma.github.io/Logging_1861/tillsyn/S 1791-2022 tillsynsbegäran.docx", "S 1791-2022")</f>
        <v/>
      </c>
      <c r="AB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46222</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s="2" t="inlineStr">
        <is>
          <t>Ullticka
Björksplintborre
Bronshjon
Mindre märgborre
Thomsons trägnagare
Timmerticka</t>
        </is>
      </c>
      <c r="V18">
        <f>HYPERLINK("https://klasma.github.io/Logging_1861/artfynd/A 29419-2026 artfynd.xlsx", "A 29419-2026")</f>
        <v/>
      </c>
      <c r="W18">
        <f>HYPERLINK("https://klasma.github.io/Logging_1861/kartor/A 29419-2026 karta.png", "A 29419-2026")</f>
        <v/>
      </c>
      <c r="Y18">
        <f>HYPERLINK("https://klasma.github.io/Logging_1861/klagomål/A 29419-2026 FSC-klagomål.docx", "A 29419-2026")</f>
        <v/>
      </c>
      <c r="Z18">
        <f>HYPERLINK("https://klasma.github.io/Logging_1861/klagomålsmail/A 29419-2026 FSC-klagomål mail.docx", "A 29419-2026")</f>
        <v/>
      </c>
      <c r="AA18">
        <f>HYPERLINK("https://klasma.github.io/Logging_1861/tillsyn/A 29419-2026 tillsynsbegäran.docx", "A 29419-2026")</f>
        <v/>
      </c>
      <c r="AB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46222</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s="2" t="inlineStr">
        <is>
          <t>Jungfrulin
Rödvingetrast
Sommarfibbla
Ullticka
Björksplintborre
Grönvit nattviol</t>
        </is>
      </c>
      <c r="V19">
        <f>HYPERLINK("https://klasma.github.io/Logging_1861/artfynd/A 22024-2024 artfynd.xlsx", "A 22024-2024")</f>
        <v/>
      </c>
      <c r="W19">
        <f>HYPERLINK("https://klasma.github.io/Logging_1861/kartor/A 22024-2024 karta.png", "A 22024-2024")</f>
        <v/>
      </c>
      <c r="Y19">
        <f>HYPERLINK("https://klasma.github.io/Logging_1861/klagomål/A 22024-2024 FSC-klagomål.docx", "A 22024-2024")</f>
        <v/>
      </c>
      <c r="Z19">
        <f>HYPERLINK("https://klasma.github.io/Logging_1861/klagomålsmail/A 22024-2024 FSC-klagomål mail.docx", "A 22024-2024")</f>
        <v/>
      </c>
      <c r="AA19">
        <f>HYPERLINK("https://klasma.github.io/Logging_1861/tillsyn/A 22024-2024 tillsynsbegäran.docx", "A 22024-2024")</f>
        <v/>
      </c>
      <c r="AB19">
        <f>HYPERLINK("https://klasma.github.io/Logging_1861/tillsynsmail/A 22024-2024 tillsynsbegäran mail.docx", "A 22024-2024")</f>
        <v/>
      </c>
      <c r="AC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46222</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s="2" t="inlineStr">
        <is>
          <t>Knärot
Talltita
Ullticka
Barkticka
Vedticka
Blåsippa</t>
        </is>
      </c>
      <c r="V20">
        <f>HYPERLINK("https://klasma.github.io/Logging_1861/artfynd/A 12560-2025 artfynd.xlsx", "A 12560-2025")</f>
        <v/>
      </c>
      <c r="W20">
        <f>HYPERLINK("https://klasma.github.io/Logging_1861/kartor/A 12560-2025 karta.png", "A 12560-2025")</f>
        <v/>
      </c>
      <c r="X20">
        <f>HYPERLINK("https://klasma.github.io/Logging_1861/knärot/A 12560-2025 karta knärot.png", "A 12560-2025")</f>
        <v/>
      </c>
      <c r="Y20">
        <f>HYPERLINK("https://klasma.github.io/Logging_1861/klagomål/A 12560-2025 FSC-klagomål.docx", "A 12560-2025")</f>
        <v/>
      </c>
      <c r="Z20">
        <f>HYPERLINK("https://klasma.github.io/Logging_1861/klagomålsmail/A 12560-2025 FSC-klagomål mail.docx", "A 12560-2025")</f>
        <v/>
      </c>
      <c r="AA20">
        <f>HYPERLINK("https://klasma.github.io/Logging_1861/tillsyn/A 12560-2025 tillsynsbegäran.docx", "A 12560-2025")</f>
        <v/>
      </c>
      <c r="AB20">
        <f>HYPERLINK("https://klasma.github.io/Logging_1861/tillsynsmail/A 12560-2025 tillsynsbegäran mail.docx", "A 12560-2025")</f>
        <v/>
      </c>
      <c r="AC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46222</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s="2" t="inlineStr">
        <is>
          <t>Ask
Tistelsnyltrot
Mindre tåtelsmygare
Mörk dunört
Skogsknipprot
Skogsödla</t>
        </is>
      </c>
      <c r="V21">
        <f>HYPERLINK("https://klasma.github.io/Logging_1861/artfynd/A 35946-2023 artfynd.xlsx", "A 35946-2023")</f>
        <v/>
      </c>
      <c r="W21">
        <f>HYPERLINK("https://klasma.github.io/Logging_1861/kartor/A 35946-2023 karta.png", "A 35946-2023")</f>
        <v/>
      </c>
      <c r="Y21">
        <f>HYPERLINK("https://klasma.github.io/Logging_1861/klagomål/A 35946-2023 FSC-klagomål.docx", "A 35946-2023")</f>
        <v/>
      </c>
      <c r="Z21">
        <f>HYPERLINK("https://klasma.github.io/Logging_1861/klagomålsmail/A 35946-2023 FSC-klagomål mail.docx", "A 35946-2023")</f>
        <v/>
      </c>
      <c r="AA21">
        <f>HYPERLINK("https://klasma.github.io/Logging_1861/tillsyn/A 35946-2023 tillsynsbegäran.docx", "A 35946-2023")</f>
        <v/>
      </c>
      <c r="AB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46222</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s="2" t="inlineStr">
        <is>
          <t>Rotfingersvamp
Skarp dropptaggsvamp
Mindre märgborre
Vedticka
Revlummer</t>
        </is>
      </c>
      <c r="V22">
        <f>HYPERLINK("https://klasma.github.io/Logging_1861/artfynd/A 42442-2024 artfynd.xlsx", "A 42442-2024")</f>
        <v/>
      </c>
      <c r="W22">
        <f>HYPERLINK("https://klasma.github.io/Logging_1861/kartor/A 42442-2024 karta.png", "A 42442-2024")</f>
        <v/>
      </c>
      <c r="Y22">
        <f>HYPERLINK("https://klasma.github.io/Logging_1861/klagomål/A 42442-2024 FSC-klagomål.docx", "A 42442-2024")</f>
        <v/>
      </c>
      <c r="Z22">
        <f>HYPERLINK("https://klasma.github.io/Logging_1861/klagomålsmail/A 42442-2024 FSC-klagomål mail.docx", "A 42442-2024")</f>
        <v/>
      </c>
      <c r="AA22">
        <f>HYPERLINK("https://klasma.github.io/Logging_1861/tillsyn/A 42442-2024 tillsynsbegäran.docx", "A 42442-2024")</f>
        <v/>
      </c>
      <c r="AB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46222</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s="2" t="inlineStr">
        <is>
          <t>Brunlångöra
Nordfladdermus
Dvärgpipistrell
Större brunfladdermus
Revlummer</t>
        </is>
      </c>
      <c r="V23">
        <f>HYPERLINK("https://klasma.github.io/Logging_1861/artfynd/A 63227-2023 artfynd.xlsx", "A 63227-2023")</f>
        <v/>
      </c>
      <c r="W23">
        <f>HYPERLINK("https://klasma.github.io/Logging_1861/kartor/A 63227-2023 karta.png", "A 63227-2023")</f>
        <v/>
      </c>
      <c r="Y23">
        <f>HYPERLINK("https://klasma.github.io/Logging_1861/klagomål/A 63227-2023 FSC-klagomål.docx", "A 63227-2023")</f>
        <v/>
      </c>
      <c r="Z23">
        <f>HYPERLINK("https://klasma.github.io/Logging_1861/klagomålsmail/A 63227-2023 FSC-klagomål mail.docx", "A 63227-2023")</f>
        <v/>
      </c>
      <c r="AA23">
        <f>HYPERLINK("https://klasma.github.io/Logging_1861/tillsyn/A 63227-2023 tillsynsbegäran.docx", "A 63227-2023")</f>
        <v/>
      </c>
      <c r="AB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46222</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s="2" t="inlineStr">
        <is>
          <t>Reliktbock
Tallticka
Vågbandad barkbock
Blåsippa
Spillkråka</t>
        </is>
      </c>
      <c r="V24">
        <f>HYPERLINK("https://klasma.github.io/Logging_1861/artfynd/A 17970-2022 artfynd.xlsx", "A 17970-2022")</f>
        <v/>
      </c>
      <c r="W24">
        <f>HYPERLINK("https://klasma.github.io/Logging_1861/kartor/A 17970-2022 karta.png", "A 17970-2022")</f>
        <v/>
      </c>
      <c r="Y24">
        <f>HYPERLINK("https://klasma.github.io/Logging_1861/klagomål/A 17970-2022 FSC-klagomål.docx", "A 17970-2022")</f>
        <v/>
      </c>
      <c r="Z24">
        <f>HYPERLINK("https://klasma.github.io/Logging_1861/klagomålsmail/A 17970-2022 FSC-klagomål mail.docx", "A 17970-2022")</f>
        <v/>
      </c>
      <c r="AA24">
        <f>HYPERLINK("https://klasma.github.io/Logging_1861/tillsyn/A 17970-2022 tillsynsbegäran.docx", "A 17970-2022")</f>
        <v/>
      </c>
      <c r="AB24">
        <f>HYPERLINK("https://klasma.github.io/Logging_1861/tillsynsmail/A 17970-2022 tillsynsbegäran mail.docx", "A 17970-2022")</f>
        <v/>
      </c>
      <c r="AC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46222</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s="2" t="inlineStr">
        <is>
          <t>Skogsalm
Entita
Stubbspretmossa
Blåsippa
Spillkråka</t>
        </is>
      </c>
      <c r="V25">
        <f>HYPERLINK("https://klasma.github.io/Logging_1861/artfynd/S 951-2026 artfynd.xlsx", "S 951-2026")</f>
        <v/>
      </c>
      <c r="W25">
        <f>HYPERLINK("https://klasma.github.io/Logging_1861/kartor/S 951-2026 karta.png", "S 951-2026")</f>
        <v/>
      </c>
      <c r="Y25">
        <f>HYPERLINK("https://klasma.github.io/Logging_1861/klagomål/S 951-2026 FSC-klagomål.docx", "S 951-2026")</f>
        <v/>
      </c>
      <c r="Z25">
        <f>HYPERLINK("https://klasma.github.io/Logging_1861/klagomålsmail/S 951-2026 FSC-klagomål mail.docx", "S 951-2026")</f>
        <v/>
      </c>
      <c r="AA25">
        <f>HYPERLINK("https://klasma.github.io/Logging_1861/tillsyn/S 951-2026 tillsynsbegäran.docx", "S 951-2026")</f>
        <v/>
      </c>
      <c r="AB25">
        <f>HYPERLINK("https://klasma.github.io/Logging_1861/tillsynsmail/S 951-2026 tillsynsbegäran mail.docx", "S 951-2026")</f>
        <v/>
      </c>
      <c r="AC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46222</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s="2" t="inlineStr">
        <is>
          <t>Vågbandad barkbock
Huggorm
Fläcknycklar
Revlummer</t>
        </is>
      </c>
      <c r="V26">
        <f>HYPERLINK("https://klasma.github.io/Logging_1861/artfynd/A 5042-2022 artfynd.xlsx", "A 5042-2022")</f>
        <v/>
      </c>
      <c r="W26">
        <f>HYPERLINK("https://klasma.github.io/Logging_1861/kartor/A 5042-2022 karta.png", "A 5042-2022")</f>
        <v/>
      </c>
      <c r="Y26">
        <f>HYPERLINK("https://klasma.github.io/Logging_1861/klagomål/A 5042-2022 FSC-klagomål.docx", "A 5042-2022")</f>
        <v/>
      </c>
      <c r="Z26">
        <f>HYPERLINK("https://klasma.github.io/Logging_1861/klagomålsmail/A 5042-2022 FSC-klagomål mail.docx", "A 5042-2022")</f>
        <v/>
      </c>
      <c r="AA26">
        <f>HYPERLINK("https://klasma.github.io/Logging_1861/tillsyn/A 5042-2022 tillsynsbegäran.docx", "A 5042-2022")</f>
        <v/>
      </c>
      <c r="AB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46222</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s="2" t="inlineStr">
        <is>
          <t>Brunpudrad nållav
Spillkråka
Fläcknycklar
Revlummer</t>
        </is>
      </c>
      <c r="V27">
        <f>HYPERLINK("https://klasma.github.io/Logging_1861/artfynd/A 16122-2023 artfynd.xlsx", "A 16122-2023")</f>
        <v/>
      </c>
      <c r="W27">
        <f>HYPERLINK("https://klasma.github.io/Logging_1861/kartor/A 16122-2023 karta.png", "A 16122-2023")</f>
        <v/>
      </c>
      <c r="Y27">
        <f>HYPERLINK("https://klasma.github.io/Logging_1861/klagomål/A 16122-2023 FSC-klagomål.docx", "A 16122-2023")</f>
        <v/>
      </c>
      <c r="Z27">
        <f>HYPERLINK("https://klasma.github.io/Logging_1861/klagomålsmail/A 16122-2023 FSC-klagomål mail.docx", "A 16122-2023")</f>
        <v/>
      </c>
      <c r="AA27">
        <f>HYPERLINK("https://klasma.github.io/Logging_1861/tillsyn/A 16122-2023 tillsynsbegäran.docx", "A 16122-2023")</f>
        <v/>
      </c>
      <c r="AB27">
        <f>HYPERLINK("https://klasma.github.io/Logging_1861/tillsynsmail/A 16122-2023 tillsynsbegäran mail.docx", "A 16122-2023")</f>
        <v/>
      </c>
      <c r="AC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46222</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s="2" t="inlineStr">
        <is>
          <t>Nordfladdermus
Talltita
Större brunfladdermus
Vattenfladdermus</t>
        </is>
      </c>
      <c r="V28">
        <f>HYPERLINK("https://klasma.github.io/Logging_1861/artfynd/A 18146-2023 artfynd.xlsx", "A 18146-2023")</f>
        <v/>
      </c>
      <c r="W28">
        <f>HYPERLINK("https://klasma.github.io/Logging_1861/kartor/A 18146-2023 karta.png", "A 18146-2023")</f>
        <v/>
      </c>
      <c r="Y28">
        <f>HYPERLINK("https://klasma.github.io/Logging_1861/klagomål/A 18146-2023 FSC-klagomål.docx", "A 18146-2023")</f>
        <v/>
      </c>
      <c r="Z28">
        <f>HYPERLINK("https://klasma.github.io/Logging_1861/klagomålsmail/A 18146-2023 FSC-klagomål mail.docx", "A 18146-2023")</f>
        <v/>
      </c>
      <c r="AA28">
        <f>HYPERLINK("https://klasma.github.io/Logging_1861/tillsyn/A 18146-2023 tillsynsbegäran.docx", "A 18146-2023")</f>
        <v/>
      </c>
      <c r="AB28">
        <f>HYPERLINK("https://klasma.github.io/Logging_1861/tillsynsmail/A 18146-2023 tillsynsbegäran mail.docx", "A 18146-2023")</f>
        <v/>
      </c>
      <c r="AC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46222</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s="2" t="inlineStr">
        <is>
          <t>Nordfladdermus
Thomsons trägnagare
Vågbandad barkbock
Havsörn</t>
        </is>
      </c>
      <c r="V29">
        <f>HYPERLINK("https://klasma.github.io/Logging_1861/artfynd/A 45117-2023 artfynd.xlsx", "A 45117-2023")</f>
        <v/>
      </c>
      <c r="W29">
        <f>HYPERLINK("https://klasma.github.io/Logging_1861/kartor/A 45117-2023 karta.png", "A 45117-2023")</f>
        <v/>
      </c>
      <c r="Y29">
        <f>HYPERLINK("https://klasma.github.io/Logging_1861/klagomål/A 45117-2023 FSC-klagomål.docx", "A 45117-2023")</f>
        <v/>
      </c>
      <c r="Z29">
        <f>HYPERLINK("https://klasma.github.io/Logging_1861/klagomålsmail/A 45117-2023 FSC-klagomål mail.docx", "A 45117-2023")</f>
        <v/>
      </c>
      <c r="AA29">
        <f>HYPERLINK("https://klasma.github.io/Logging_1861/tillsyn/A 45117-2023 tillsynsbegäran.docx", "A 45117-2023")</f>
        <v/>
      </c>
      <c r="AB29">
        <f>HYPERLINK("https://klasma.github.io/Logging_1861/tillsynsmail/A 45117-2023 tillsynsbegäran mail.docx", "A 45117-2023")</f>
        <v/>
      </c>
      <c r="AC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46222</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s="2" t="inlineStr">
        <is>
          <t>Björksplintborre
Dolkstekelsglasvinge
Strutbräken
Blåsippa</t>
        </is>
      </c>
      <c r="V30">
        <f>HYPERLINK("https://klasma.github.io/Logging_1861/artfynd/A 44863-2023 artfynd.xlsx", "A 44863-2023")</f>
        <v/>
      </c>
      <c r="W30">
        <f>HYPERLINK("https://klasma.github.io/Logging_1861/kartor/A 44863-2023 karta.png", "A 44863-2023")</f>
        <v/>
      </c>
      <c r="Y30">
        <f>HYPERLINK("https://klasma.github.io/Logging_1861/klagomål/A 44863-2023 FSC-klagomål.docx", "A 44863-2023")</f>
        <v/>
      </c>
      <c r="Z30">
        <f>HYPERLINK("https://klasma.github.io/Logging_1861/klagomålsmail/A 44863-2023 FSC-klagomål mail.docx", "A 44863-2023")</f>
        <v/>
      </c>
      <c r="AA30">
        <f>HYPERLINK("https://klasma.github.io/Logging_1861/tillsyn/A 44863-2023 tillsynsbegäran.docx", "A 44863-2023")</f>
        <v/>
      </c>
      <c r="AB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46222</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s="2" t="inlineStr">
        <is>
          <t>Järnsparv
Grönsiska
Kungsfågel</t>
        </is>
      </c>
      <c r="V31">
        <f>HYPERLINK("https://klasma.github.io/Logging_1861/artfynd/A 13190-2023 artfynd.xlsx", "A 13190-2023")</f>
        <v/>
      </c>
      <c r="W31">
        <f>HYPERLINK("https://klasma.github.io/Logging_1861/kartor/A 13190-2023 karta.png", "A 13190-2023")</f>
        <v/>
      </c>
      <c r="Y31">
        <f>HYPERLINK("https://klasma.github.io/Logging_1861/klagomål/A 13190-2023 FSC-klagomål.docx", "A 13190-2023")</f>
        <v/>
      </c>
      <c r="Z31">
        <f>HYPERLINK("https://klasma.github.io/Logging_1861/klagomålsmail/A 13190-2023 FSC-klagomål mail.docx", "A 13190-2023")</f>
        <v/>
      </c>
      <c r="AA31">
        <f>HYPERLINK("https://klasma.github.io/Logging_1861/tillsyn/A 13190-2023 tillsynsbegäran.docx", "A 13190-2023")</f>
        <v/>
      </c>
      <c r="AB31">
        <f>HYPERLINK("https://klasma.github.io/Logging_1861/tillsynsmail/A 13190-2023 tillsynsbegäran mail.docx", "A 13190-2023")</f>
        <v/>
      </c>
      <c r="AC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46222</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s="2" t="inlineStr">
        <is>
          <t>Blåmossa
Tjäder
Revlummer</t>
        </is>
      </c>
      <c r="V32">
        <f>HYPERLINK("https://klasma.github.io/Logging_1861/artfynd/A 28113-2025 artfynd.xlsx", "A 28113-2025")</f>
        <v/>
      </c>
      <c r="W32">
        <f>HYPERLINK("https://klasma.github.io/Logging_1861/kartor/A 28113-2025 karta.png", "A 28113-2025")</f>
        <v/>
      </c>
      <c r="Y32">
        <f>HYPERLINK("https://klasma.github.io/Logging_1861/klagomål/A 28113-2025 FSC-klagomål.docx", "A 28113-2025")</f>
        <v/>
      </c>
      <c r="Z32">
        <f>HYPERLINK("https://klasma.github.io/Logging_1861/klagomålsmail/A 28113-2025 FSC-klagomål mail.docx", "A 28113-2025")</f>
        <v/>
      </c>
      <c r="AA32">
        <f>HYPERLINK("https://klasma.github.io/Logging_1861/tillsyn/A 28113-2025 tillsynsbegäran.docx", "A 28113-2025")</f>
        <v/>
      </c>
      <c r="AB32">
        <f>HYPERLINK("https://klasma.github.io/Logging_1861/tillsynsmail/A 28113-2025 tillsynsbegäran mail.docx", "A 28113-2025")</f>
        <v/>
      </c>
      <c r="AC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46222</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s="2" t="inlineStr">
        <is>
          <t>Rosetticka
Gullviva
Revlummer</t>
        </is>
      </c>
      <c r="V33">
        <f>HYPERLINK("https://klasma.github.io/Logging_1861/artfynd/A 17018-2023 artfynd.xlsx", "A 17018-2023")</f>
        <v/>
      </c>
      <c r="W33">
        <f>HYPERLINK("https://klasma.github.io/Logging_1861/kartor/A 17018-2023 karta.png", "A 17018-2023")</f>
        <v/>
      </c>
      <c r="Y33">
        <f>HYPERLINK("https://klasma.github.io/Logging_1861/klagomål/A 17018-2023 FSC-klagomål.docx", "A 17018-2023")</f>
        <v/>
      </c>
      <c r="Z33">
        <f>HYPERLINK("https://klasma.github.io/Logging_1861/klagomålsmail/A 17018-2023 FSC-klagomål mail.docx", "A 17018-2023")</f>
        <v/>
      </c>
      <c r="AA33">
        <f>HYPERLINK("https://klasma.github.io/Logging_1861/tillsyn/A 17018-2023 tillsynsbegäran.docx", "A 17018-2023")</f>
        <v/>
      </c>
      <c r="AB33">
        <f>HYPERLINK("https://klasma.github.io/Logging_1861/tillsynsmail/A 17018-2023 tillsynsbegäran mail.docx", "A 17018-2023")</f>
        <v/>
      </c>
    </row>
    <row r="34" ht="15" customHeight="1">
      <c r="A34" t="inlineStr">
        <is>
          <t>A 13183-2023</t>
        </is>
      </c>
      <c r="B34" t="inlineStr">
        <is>
          <t>avverkningsanmälan</t>
        </is>
      </c>
      <c r="C34" t="inlineStr">
        <is>
          <t>Föryngringsavverkning</t>
        </is>
      </c>
      <c r="D34" s="1" t="n">
        <v>45002</v>
      </c>
      <c r="E34" s="1" t="n">
        <v>46222</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s="2" t="inlineStr">
        <is>
          <t>Ögonpyrola
Blåsippa
Kungsfågel</t>
        </is>
      </c>
      <c r="V34">
        <f>HYPERLINK("https://klasma.github.io/Logging_1861/artfynd/A 13183-2023 artfynd.xlsx", "A 13183-2023")</f>
        <v/>
      </c>
      <c r="W34">
        <f>HYPERLINK("https://klasma.github.io/Logging_1861/kartor/A 13183-2023 karta.png", "A 13183-2023")</f>
        <v/>
      </c>
      <c r="Y34">
        <f>HYPERLINK("https://klasma.github.io/Logging_1861/klagomål/A 13183-2023 FSC-klagomål.docx", "A 13183-2023")</f>
        <v/>
      </c>
      <c r="Z34">
        <f>HYPERLINK("https://klasma.github.io/Logging_1861/klagomålsmail/A 13183-2023 FSC-klagomål mail.docx", "A 13183-2023")</f>
        <v/>
      </c>
      <c r="AA34">
        <f>HYPERLINK("https://klasma.github.io/Logging_1861/tillsyn/A 13183-2023 tillsynsbegäran.docx", "A 13183-2023")</f>
        <v/>
      </c>
      <c r="AB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46222</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s="2" t="inlineStr">
        <is>
          <t>Nötkråka
Tibast
Kungsfågel</t>
        </is>
      </c>
      <c r="V35">
        <f>HYPERLINK("https://klasma.github.io/Logging_1861/artfynd/A 57764-2025 artfynd.xlsx", "A 57764-2025")</f>
        <v/>
      </c>
      <c r="W35">
        <f>HYPERLINK("https://klasma.github.io/Logging_1861/kartor/A 57764-2025 karta.png", "A 57764-2025")</f>
        <v/>
      </c>
      <c r="Y35">
        <f>HYPERLINK("https://klasma.github.io/Logging_1861/klagomål/A 57764-2025 FSC-klagomål.docx", "A 57764-2025")</f>
        <v/>
      </c>
      <c r="Z35">
        <f>HYPERLINK("https://klasma.github.io/Logging_1861/klagomålsmail/A 57764-2025 FSC-klagomål mail.docx", "A 57764-2025")</f>
        <v/>
      </c>
      <c r="AA35">
        <f>HYPERLINK("https://klasma.github.io/Logging_1861/tillsyn/A 57764-2025 tillsynsbegäran.docx", "A 57764-2025")</f>
        <v/>
      </c>
      <c r="AB35">
        <f>HYPERLINK("https://klasma.github.io/Logging_1861/tillsynsmail/A 57764-2025 tillsynsbegäran mail.docx", "A 57764-2025")</f>
        <v/>
      </c>
      <c r="AC35">
        <f>HYPERLINK("https://klasma.github.io/Logging_1861/fåglar/A 57764-2025 prioriterade fågelarter.docx", "A 57764-2025")</f>
        <v/>
      </c>
    </row>
    <row r="36" ht="15" customHeight="1">
      <c r="A36" t="inlineStr">
        <is>
          <t>A 20946-2026</t>
        </is>
      </c>
      <c r="B36" t="inlineStr">
        <is>
          <t>avverkningsanmälan</t>
        </is>
      </c>
      <c r="C36" t="inlineStr">
        <is>
          <t>Föryngringsavverkning</t>
        </is>
      </c>
      <c r="D36" s="1" t="n">
        <v>46142</v>
      </c>
      <c r="E36" s="1" t="n">
        <v>46222</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s="2" t="inlineStr">
        <is>
          <t>Tajgafältmätare
Fällmossa
Grov fjädermossa</t>
        </is>
      </c>
      <c r="V36">
        <f>HYPERLINK("https://klasma.github.io/Logging_1861/artfynd/A 20946-2026 artfynd.xlsx", "A 20946-2026")</f>
        <v/>
      </c>
      <c r="W36">
        <f>HYPERLINK("https://klasma.github.io/Logging_1861/kartor/A 20946-2026 karta.png", "A 20946-2026")</f>
        <v/>
      </c>
      <c r="Y36">
        <f>HYPERLINK("https://klasma.github.io/Logging_1861/klagomål/A 20946-2026 FSC-klagomål.docx", "A 20946-2026")</f>
        <v/>
      </c>
      <c r="Z36">
        <f>HYPERLINK("https://klasma.github.io/Logging_1861/klagomålsmail/A 20946-2026 FSC-klagomål mail.docx", "A 20946-2026")</f>
        <v/>
      </c>
      <c r="AA36">
        <f>HYPERLINK("https://klasma.github.io/Logging_1861/tillsyn/A 20946-2026 tillsynsbegäran.docx", "A 20946-2026")</f>
        <v/>
      </c>
      <c r="AB36">
        <f>HYPERLINK("https://klasma.github.io/Logging_1861/tillsynsmail/A 20946-2026 tillsynsbegäran mail.docx", "A 20946-2026")</f>
        <v/>
      </c>
    </row>
    <row r="37" ht="15" customHeight="1">
      <c r="A37" t="inlineStr">
        <is>
          <t>A 30011-2026</t>
        </is>
      </c>
      <c r="B37" t="inlineStr">
        <is>
          <t>avverkningsanmälan</t>
        </is>
      </c>
      <c r="C37" t="inlineStr">
        <is>
          <t>Föryngringsavverkning</t>
        </is>
      </c>
      <c r="D37" s="1" t="n">
        <v>46206</v>
      </c>
      <c r="E37" s="1" t="n">
        <v>46222</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s="2" t="inlineStr">
        <is>
          <t>Talltita
Plattlummer
Tjäder</t>
        </is>
      </c>
      <c r="V37">
        <f>HYPERLINK("https://klasma.github.io/Logging_1861/artfynd/A 30011-2026 artfynd.xlsx", "A 30011-2026")</f>
        <v/>
      </c>
      <c r="W37">
        <f>HYPERLINK("https://klasma.github.io/Logging_1861/kartor/A 30011-2026 karta.png", "A 30011-2026")</f>
        <v/>
      </c>
      <c r="Y37">
        <f>HYPERLINK("https://klasma.github.io/Logging_1861/klagomål/A 30011-2026 FSC-klagomål.docx", "A 30011-2026")</f>
        <v/>
      </c>
      <c r="Z37">
        <f>HYPERLINK("https://klasma.github.io/Logging_1861/klagomålsmail/A 30011-2026 FSC-klagomål mail.docx", "A 30011-2026")</f>
        <v/>
      </c>
      <c r="AA37">
        <f>HYPERLINK("https://klasma.github.io/Logging_1861/tillsyn/A 30011-2026 tillsynsbegäran.docx", "A 30011-2026")</f>
        <v/>
      </c>
      <c r="AB37">
        <f>HYPERLINK("https://klasma.github.io/Logging_1861/tillsynsmail/A 30011-2026 tillsynsbegäran mail.docx", "A 30011-2026")</f>
        <v/>
      </c>
      <c r="AC37">
        <f>HYPERLINK("https://klasma.github.io/Logging_1861/fåglar/A 30011-2026 prioriterade fågelarter.docx", "A 30011-2026")</f>
        <v/>
      </c>
    </row>
    <row r="38" ht="15" customHeight="1">
      <c r="A38" t="inlineStr">
        <is>
          <t>A 19408-2023</t>
        </is>
      </c>
      <c r="B38" t="inlineStr">
        <is>
          <t>avverkningsanmälan</t>
        </is>
      </c>
      <c r="C38" t="inlineStr">
        <is>
          <t>Föryngringsavverkning</t>
        </is>
      </c>
      <c r="D38" s="1" t="n">
        <v>45049</v>
      </c>
      <c r="E38" s="1" t="n">
        <v>46222</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s="2" t="inlineStr">
        <is>
          <t>Ask
Skogsalm
Tibast</t>
        </is>
      </c>
      <c r="V38">
        <f>HYPERLINK("https://klasma.github.io/Logging_1861/artfynd/A 19408-2023 artfynd.xlsx", "A 19408-2023")</f>
        <v/>
      </c>
      <c r="W38">
        <f>HYPERLINK("https://klasma.github.io/Logging_1861/kartor/A 19408-2023 karta.png", "A 19408-2023")</f>
        <v/>
      </c>
      <c r="Y38">
        <f>HYPERLINK("https://klasma.github.io/Logging_1861/klagomål/A 19408-2023 FSC-klagomål.docx", "A 19408-2023")</f>
        <v/>
      </c>
      <c r="Z38">
        <f>HYPERLINK("https://klasma.github.io/Logging_1861/klagomålsmail/A 19408-2023 FSC-klagomål mail.docx", "A 19408-2023")</f>
        <v/>
      </c>
      <c r="AA38">
        <f>HYPERLINK("https://klasma.github.io/Logging_1861/tillsyn/A 19408-2023 tillsynsbegäran.docx", "A 19408-2023")</f>
        <v/>
      </c>
      <c r="AB38">
        <f>HYPERLINK("https://klasma.github.io/Logging_1861/tillsynsmail/A 19408-2023 tillsynsbegäran mail.docx", "A 19408-2023")</f>
        <v/>
      </c>
    </row>
    <row r="39" ht="15" customHeight="1">
      <c r="A39" t="inlineStr">
        <is>
          <t>A 41602-2022</t>
        </is>
      </c>
      <c r="B39" t="inlineStr">
        <is>
          <t>avverkningsanmälan</t>
        </is>
      </c>
      <c r="C39" t="inlineStr">
        <is>
          <t>Föryngringsavverkning</t>
        </is>
      </c>
      <c r="D39" s="1" t="n">
        <v>44827</v>
      </c>
      <c r="E39" s="1" t="n">
        <v>46222</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s="2" t="inlineStr">
        <is>
          <t>Hasselmus
Revlummer</t>
        </is>
      </c>
      <c r="V39">
        <f>HYPERLINK("https://klasma.github.io/Logging_1861/artfynd/A 41602-2022 artfynd.xlsx", "A 41602-2022")</f>
        <v/>
      </c>
      <c r="W39">
        <f>HYPERLINK("https://klasma.github.io/Logging_1861/kartor/A 41602-2022 karta.png", "A 41602-2022")</f>
        <v/>
      </c>
      <c r="Y39">
        <f>HYPERLINK("https://klasma.github.io/Logging_1861/klagomål/A 41602-2022 FSC-klagomål.docx", "A 41602-2022")</f>
        <v/>
      </c>
      <c r="Z39">
        <f>HYPERLINK("https://klasma.github.io/Logging_1861/klagomålsmail/A 41602-2022 FSC-klagomål mail.docx", "A 41602-2022")</f>
        <v/>
      </c>
      <c r="AA39">
        <f>HYPERLINK("https://klasma.github.io/Logging_1861/tillsyn/A 41602-2022 tillsynsbegäran.docx", "A 41602-2022")</f>
        <v/>
      </c>
      <c r="AB39">
        <f>HYPERLINK("https://klasma.github.io/Logging_1861/tillsynsmail/A 41602-2022 tillsynsbegäran mail.docx", "A 41602-2022")</f>
        <v/>
      </c>
    </row>
    <row r="40" ht="15" customHeight="1">
      <c r="A40" t="inlineStr">
        <is>
          <t>A 64813-2023</t>
        </is>
      </c>
      <c r="B40" t="inlineStr">
        <is>
          <t>avverkningsanmälan</t>
        </is>
      </c>
      <c r="C40" t="inlineStr">
        <is>
          <t>Avverkning för att bevara och utveckla /försöksver</t>
        </is>
      </c>
      <c r="D40" s="1" t="n">
        <v>45282</v>
      </c>
      <c r="E40" s="1" t="n">
        <v>46222</v>
      </c>
      <c r="F40" t="inlineStr">
        <is>
          <t>ÖREBRO LÄN</t>
        </is>
      </c>
      <c r="G40" t="inlineStr">
        <is>
          <t>HALLSBERG</t>
        </is>
      </c>
      <c r="H40" t="inlineStr">
        <is>
          <t>Sveaskog</t>
        </is>
      </c>
      <c r="I40" t="n">
        <v>3.7</v>
      </c>
      <c r="J40" t="n">
        <v>0</v>
      </c>
      <c r="K40" t="n">
        <v>2</v>
      </c>
      <c r="L40" t="n">
        <v>0</v>
      </c>
      <c r="M40" t="n">
        <v>0</v>
      </c>
      <c r="N40" t="n">
        <v>0</v>
      </c>
      <c r="O40" t="n">
        <v>0</v>
      </c>
      <c r="P40" t="n">
        <v>0</v>
      </c>
      <c r="Q40" t="n">
        <v>0</v>
      </c>
      <c r="R40" t="n">
        <v>0</v>
      </c>
      <c r="S40" t="n">
        <v>2</v>
      </c>
      <c r="T40" t="n">
        <v>2</v>
      </c>
      <c r="U40" s="2" t="inlineStr">
        <is>
          <t>Björksplintborre
Bronshjon</t>
        </is>
      </c>
      <c r="V40">
        <f>HYPERLINK("https://klasma.github.io/Logging_1861/artfynd/A 64813-2023 artfynd.xlsx", "A 64813-2023")</f>
        <v/>
      </c>
      <c r="W40">
        <f>HYPERLINK("https://klasma.github.io/Logging_1861/kartor/A 64813-2023 karta.png", "A 64813-2023")</f>
        <v/>
      </c>
      <c r="Y40">
        <f>HYPERLINK("https://klasma.github.io/Logging_1861/klagomål/A 64813-2023 FSC-klagomål.docx", "A 64813-2023")</f>
        <v/>
      </c>
      <c r="Z40">
        <f>HYPERLINK("https://klasma.github.io/Logging_1861/klagomålsmail/A 64813-2023 FSC-klagomål mail.docx", "A 64813-2023")</f>
        <v/>
      </c>
      <c r="AA40">
        <f>HYPERLINK("https://klasma.github.io/Logging_1861/tillsyn/A 64813-2023 tillsynsbegäran.docx", "A 64813-2023")</f>
        <v/>
      </c>
      <c r="AB40">
        <f>HYPERLINK("https://klasma.github.io/Logging_1861/tillsynsmail/A 64813-2023 tillsynsbegäran mail.docx", "A 64813-2023")</f>
        <v/>
      </c>
    </row>
    <row r="41" ht="15" customHeight="1">
      <c r="A41" t="inlineStr">
        <is>
          <t>A 46452-2023</t>
        </is>
      </c>
      <c r="B41" t="inlineStr">
        <is>
          <t>avverkningsanmälan</t>
        </is>
      </c>
      <c r="C41" t="inlineStr">
        <is>
          <t>Föryngringsavverkning</t>
        </is>
      </c>
      <c r="D41" s="1" t="n">
        <v>45197</v>
      </c>
      <c r="E41" s="1" t="n">
        <v>46222</v>
      </c>
      <c r="F41" t="inlineStr">
        <is>
          <t>ÖREBRO LÄN</t>
        </is>
      </c>
      <c r="G41" t="inlineStr">
        <is>
          <t>HALLSBERG</t>
        </is>
      </c>
      <c r="I41" t="n">
        <v>2.7</v>
      </c>
      <c r="J41" t="n">
        <v>2</v>
      </c>
      <c r="K41" t="n">
        <v>0</v>
      </c>
      <c r="L41" t="n">
        <v>1</v>
      </c>
      <c r="M41" t="n">
        <v>0</v>
      </c>
      <c r="N41" t="n">
        <v>0</v>
      </c>
      <c r="O41" t="n">
        <v>0</v>
      </c>
      <c r="P41" t="n">
        <v>0</v>
      </c>
      <c r="Q41" t="n">
        <v>1</v>
      </c>
      <c r="R41" t="n">
        <v>0</v>
      </c>
      <c r="S41" t="n">
        <v>2</v>
      </c>
      <c r="T41" t="n">
        <v>5</v>
      </c>
      <c r="U41" s="2" t="inlineStr">
        <is>
          <t>Entita
Blåsippa</t>
        </is>
      </c>
      <c r="V41">
        <f>HYPERLINK("https://klasma.github.io/Logging_1861/artfynd/A 46452-2023 artfynd.xlsx", "A 46452-2023")</f>
        <v/>
      </c>
      <c r="W41">
        <f>HYPERLINK("https://klasma.github.io/Logging_1861/kartor/A 46452-2023 karta.png", "A 46452-2023")</f>
        <v/>
      </c>
      <c r="Y41">
        <f>HYPERLINK("https://klasma.github.io/Logging_1861/klagomål/A 46452-2023 FSC-klagomål.docx", "A 46452-2023")</f>
        <v/>
      </c>
      <c r="Z41">
        <f>HYPERLINK("https://klasma.github.io/Logging_1861/klagomålsmail/A 46452-2023 FSC-klagomål mail.docx", "A 46452-2023")</f>
        <v/>
      </c>
      <c r="AA41">
        <f>HYPERLINK("https://klasma.github.io/Logging_1861/tillsyn/A 46452-2023 tillsynsbegäran.docx", "A 46452-2023")</f>
        <v/>
      </c>
      <c r="AB41">
        <f>HYPERLINK("https://klasma.github.io/Logging_1861/tillsynsmail/A 46452-2023 tillsynsbegäran mail.docx", "A 46452-2023")</f>
        <v/>
      </c>
      <c r="AC41">
        <f>HYPERLINK("https://klasma.github.io/Logging_1861/fåglar/A 46452-2023 prioriterade fågelarter.docx", "A 46452-2023")</f>
        <v/>
      </c>
    </row>
    <row r="42" ht="15" customHeight="1">
      <c r="A42" t="inlineStr">
        <is>
          <t>A 41410-2021</t>
        </is>
      </c>
      <c r="B42" t="inlineStr">
        <is>
          <t>avverkningsanmälan</t>
        </is>
      </c>
      <c r="C42" t="inlineStr">
        <is>
          <t>Föryngringsavverkning</t>
        </is>
      </c>
      <c r="D42" s="1" t="n">
        <v>44424</v>
      </c>
      <c r="E42" s="1" t="n">
        <v>46222</v>
      </c>
      <c r="F42" t="inlineStr">
        <is>
          <t>ÖREBRO LÄN</t>
        </is>
      </c>
      <c r="G42" t="inlineStr">
        <is>
          <t>HALLSBERG</t>
        </is>
      </c>
      <c r="H42" t="inlineStr">
        <is>
          <t>Sveaskog</t>
        </is>
      </c>
      <c r="I42" t="n">
        <v>1.1</v>
      </c>
      <c r="J42" t="n">
        <v>0</v>
      </c>
      <c r="K42" t="n">
        <v>2</v>
      </c>
      <c r="L42" t="n">
        <v>0</v>
      </c>
      <c r="M42" t="n">
        <v>0</v>
      </c>
      <c r="N42" t="n">
        <v>0</v>
      </c>
      <c r="O42" t="n">
        <v>0</v>
      </c>
      <c r="P42" t="n">
        <v>0</v>
      </c>
      <c r="Q42" t="n">
        <v>0</v>
      </c>
      <c r="R42" t="n">
        <v>0</v>
      </c>
      <c r="S42" t="n">
        <v>2</v>
      </c>
      <c r="T42" t="n">
        <v>2</v>
      </c>
      <c r="U42" s="2" t="inlineStr">
        <is>
          <t>Vedticka
Västlig hakmossa</t>
        </is>
      </c>
      <c r="V42">
        <f>HYPERLINK("https://klasma.github.io/Logging_1861/artfynd/A 41410-2021 artfynd.xlsx", "A 41410-2021")</f>
        <v/>
      </c>
      <c r="W42">
        <f>HYPERLINK("https://klasma.github.io/Logging_1861/kartor/A 41410-2021 karta.png", "A 41410-2021")</f>
        <v/>
      </c>
      <c r="Y42">
        <f>HYPERLINK("https://klasma.github.io/Logging_1861/klagomål/A 41410-2021 FSC-klagomål.docx", "A 41410-2021")</f>
        <v/>
      </c>
      <c r="Z42">
        <f>HYPERLINK("https://klasma.github.io/Logging_1861/klagomålsmail/A 41410-2021 FSC-klagomål mail.docx", "A 41410-2021")</f>
        <v/>
      </c>
      <c r="AA42">
        <f>HYPERLINK("https://klasma.github.io/Logging_1861/tillsyn/A 41410-2021 tillsynsbegäran.docx", "A 41410-2021")</f>
        <v/>
      </c>
      <c r="AB42">
        <f>HYPERLINK("https://klasma.github.io/Logging_1861/tillsynsmail/A 41410-2021 tillsynsbegäran mail.docx", "A 41410-2021")</f>
        <v/>
      </c>
    </row>
    <row r="43" ht="15" customHeight="1">
      <c r="A43" t="inlineStr">
        <is>
          <t>A 31747-2022</t>
        </is>
      </c>
      <c r="B43" t="inlineStr">
        <is>
          <t>avverkningsanmälan</t>
        </is>
      </c>
      <c r="C43" t="inlineStr">
        <is>
          <t>Föryngringsavverkning</t>
        </is>
      </c>
      <c r="D43" s="1" t="n">
        <v>44776</v>
      </c>
      <c r="E43" s="1" t="n">
        <v>46222</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s="2" t="inlineStr">
        <is>
          <t>Talltita
Fläcknycklar</t>
        </is>
      </c>
      <c r="V43">
        <f>HYPERLINK("https://klasma.github.io/Logging_1861/artfynd/A 31747-2022 artfynd.xlsx", "A 31747-2022")</f>
        <v/>
      </c>
      <c r="W43">
        <f>HYPERLINK("https://klasma.github.io/Logging_1861/kartor/A 31747-2022 karta.png", "A 31747-2022")</f>
        <v/>
      </c>
      <c r="Y43">
        <f>HYPERLINK("https://klasma.github.io/Logging_1861/klagomål/A 31747-2022 FSC-klagomål.docx", "A 31747-2022")</f>
        <v/>
      </c>
      <c r="Z43">
        <f>HYPERLINK("https://klasma.github.io/Logging_1861/klagomålsmail/A 31747-2022 FSC-klagomål mail.docx", "A 31747-2022")</f>
        <v/>
      </c>
      <c r="AA43">
        <f>HYPERLINK("https://klasma.github.io/Logging_1861/tillsyn/A 31747-2022 tillsynsbegäran.docx", "A 31747-2022")</f>
        <v/>
      </c>
      <c r="AB43">
        <f>HYPERLINK("https://klasma.github.io/Logging_1861/tillsynsmail/A 31747-2022 tillsynsbegäran mail.docx", "A 31747-2022")</f>
        <v/>
      </c>
      <c r="AC43">
        <f>HYPERLINK("https://klasma.github.io/Logging_1861/fåglar/A 31747-2022 prioriterade fågelarter.docx", "A 31747-2022")</f>
        <v/>
      </c>
    </row>
    <row r="44" ht="15" customHeight="1">
      <c r="A44" t="inlineStr">
        <is>
          <t>A 14064-2024</t>
        </is>
      </c>
      <c r="B44" t="inlineStr">
        <is>
          <t>avverkningsanmälan</t>
        </is>
      </c>
      <c r="C44" t="inlineStr">
        <is>
          <t>Föryngringsavverkning</t>
        </is>
      </c>
      <c r="D44" s="1" t="n">
        <v>45392</v>
      </c>
      <c r="E44" s="1" t="n">
        <v>46222</v>
      </c>
      <c r="F44" t="inlineStr">
        <is>
          <t>ÖREBRO LÄN</t>
        </is>
      </c>
      <c r="G44" t="inlineStr">
        <is>
          <t>HALLSBERG</t>
        </is>
      </c>
      <c r="I44" t="n">
        <v>4</v>
      </c>
      <c r="J44" t="n">
        <v>2</v>
      </c>
      <c r="K44" t="n">
        <v>0</v>
      </c>
      <c r="L44" t="n">
        <v>0</v>
      </c>
      <c r="M44" t="n">
        <v>0</v>
      </c>
      <c r="N44" t="n">
        <v>0</v>
      </c>
      <c r="O44" t="n">
        <v>0</v>
      </c>
      <c r="P44" t="n">
        <v>0</v>
      </c>
      <c r="Q44" t="n">
        <v>0</v>
      </c>
      <c r="R44" t="n">
        <v>0</v>
      </c>
      <c r="S44" t="n">
        <v>2</v>
      </c>
      <c r="T44" t="n">
        <v>4</v>
      </c>
      <c r="U44" s="2" t="inlineStr">
        <is>
          <t>Blåsippa
Mattlummer</t>
        </is>
      </c>
      <c r="V44">
        <f>HYPERLINK("https://klasma.github.io/Logging_1861/artfynd/A 14064-2024 artfynd.xlsx", "A 14064-2024")</f>
        <v/>
      </c>
      <c r="W44">
        <f>HYPERLINK("https://klasma.github.io/Logging_1861/kartor/A 14064-2024 karta.png", "A 14064-2024")</f>
        <v/>
      </c>
      <c r="Y44">
        <f>HYPERLINK("https://klasma.github.io/Logging_1861/klagomål/A 14064-2024 FSC-klagomål.docx", "A 14064-2024")</f>
        <v/>
      </c>
      <c r="Z44">
        <f>HYPERLINK("https://klasma.github.io/Logging_1861/klagomålsmail/A 14064-2024 FSC-klagomål mail.docx", "A 14064-2024")</f>
        <v/>
      </c>
      <c r="AA44">
        <f>HYPERLINK("https://klasma.github.io/Logging_1861/tillsyn/A 14064-2024 tillsynsbegäran.docx", "A 14064-2024")</f>
        <v/>
      </c>
      <c r="AB44">
        <f>HYPERLINK("https://klasma.github.io/Logging_1861/tillsynsmail/A 14064-2024 tillsynsbegäran mail.docx", "A 14064-2024")</f>
        <v/>
      </c>
    </row>
    <row r="45" ht="15" customHeight="1">
      <c r="A45" t="inlineStr">
        <is>
          <t>A 1615-2023</t>
        </is>
      </c>
      <c r="B45" t="inlineStr">
        <is>
          <t>avverkningsanmälan</t>
        </is>
      </c>
      <c r="C45" t="inlineStr">
        <is>
          <t>Föryngringsavverkning</t>
        </is>
      </c>
      <c r="D45" s="1" t="n">
        <v>44937</v>
      </c>
      <c r="E45" s="1" t="n">
        <v>46222</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s="2" t="inlineStr">
        <is>
          <t>Talltita
Hasselmus</t>
        </is>
      </c>
      <c r="V45">
        <f>HYPERLINK("https://klasma.github.io/Logging_1861/artfynd/A 1615-2023 artfynd.xlsx", "A 1615-2023")</f>
        <v/>
      </c>
      <c r="W45">
        <f>HYPERLINK("https://klasma.github.io/Logging_1861/kartor/A 1615-2023 karta.png", "A 1615-2023")</f>
        <v/>
      </c>
      <c r="Y45">
        <f>HYPERLINK("https://klasma.github.io/Logging_1861/klagomål/A 1615-2023 FSC-klagomål.docx", "A 1615-2023")</f>
        <v/>
      </c>
      <c r="Z45">
        <f>HYPERLINK("https://klasma.github.io/Logging_1861/klagomålsmail/A 1615-2023 FSC-klagomål mail.docx", "A 1615-2023")</f>
        <v/>
      </c>
      <c r="AA45">
        <f>HYPERLINK("https://klasma.github.io/Logging_1861/tillsyn/A 1615-2023 tillsynsbegäran.docx", "A 1615-2023")</f>
        <v/>
      </c>
      <c r="AB45">
        <f>HYPERLINK("https://klasma.github.io/Logging_1861/tillsynsmail/A 1615-2023 tillsynsbegäran mail.docx", "A 1615-2023")</f>
        <v/>
      </c>
      <c r="AC45">
        <f>HYPERLINK("https://klasma.github.io/Logging_1861/fåglar/A 1615-2023 prioriterade fågelarter.docx", "A 1615-2023")</f>
        <v/>
      </c>
    </row>
    <row r="46" ht="15" customHeight="1">
      <c r="A46" t="inlineStr">
        <is>
          <t>A 20942-2026</t>
        </is>
      </c>
      <c r="B46" t="inlineStr">
        <is>
          <t>avverkningsanmälan</t>
        </is>
      </c>
      <c r="C46" t="inlineStr">
        <is>
          <t>Föryngringsavverkning</t>
        </is>
      </c>
      <c r="D46" s="1" t="n">
        <v>46142</v>
      </c>
      <c r="E46" s="1" t="n">
        <v>46222</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s="2" t="inlineStr">
        <is>
          <t>Terpentinmossa
Tvåblad</t>
        </is>
      </c>
      <c r="V46">
        <f>HYPERLINK("https://klasma.github.io/Logging_1861/artfynd/A 20942-2026 artfynd.xlsx", "A 20942-2026")</f>
        <v/>
      </c>
      <c r="W46">
        <f>HYPERLINK("https://klasma.github.io/Logging_1861/kartor/A 20942-2026 karta.png", "A 20942-2026")</f>
        <v/>
      </c>
      <c r="Y46">
        <f>HYPERLINK("https://klasma.github.io/Logging_1861/klagomål/A 20942-2026 FSC-klagomål.docx", "A 20942-2026")</f>
        <v/>
      </c>
      <c r="Z46">
        <f>HYPERLINK("https://klasma.github.io/Logging_1861/klagomålsmail/A 20942-2026 FSC-klagomål mail.docx", "A 20942-2026")</f>
        <v/>
      </c>
      <c r="AA46">
        <f>HYPERLINK("https://klasma.github.io/Logging_1861/tillsyn/A 20942-2026 tillsynsbegäran.docx", "A 20942-2026")</f>
        <v/>
      </c>
      <c r="AB46">
        <f>HYPERLINK("https://klasma.github.io/Logging_1861/tillsynsmail/A 20942-2026 tillsynsbegäran mail.docx", "A 20942-2026")</f>
        <v/>
      </c>
    </row>
    <row r="47" ht="15" customHeight="1">
      <c r="A47" t="inlineStr">
        <is>
          <t>A 30594-2022</t>
        </is>
      </c>
      <c r="B47" t="inlineStr">
        <is>
          <t>avverkningsanmälan</t>
        </is>
      </c>
      <c r="C47" t="inlineStr">
        <is>
          <t>Föryngringsavverkning</t>
        </is>
      </c>
      <c r="D47" s="1" t="n">
        <v>44762</v>
      </c>
      <c r="E47" s="1" t="n">
        <v>46222</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s="2" t="inlineStr">
        <is>
          <t>Blåsippa
Nattviol</t>
        </is>
      </c>
      <c r="V47">
        <f>HYPERLINK("https://klasma.github.io/Logging_1861/artfynd/A 30594-2022 artfynd.xlsx", "A 30594-2022")</f>
        <v/>
      </c>
      <c r="W47">
        <f>HYPERLINK("https://klasma.github.io/Logging_1861/kartor/A 30594-2022 karta.png", "A 30594-2022")</f>
        <v/>
      </c>
      <c r="Y47">
        <f>HYPERLINK("https://klasma.github.io/Logging_1861/klagomål/A 30594-2022 FSC-klagomål.docx", "A 30594-2022")</f>
        <v/>
      </c>
      <c r="Z47">
        <f>HYPERLINK("https://klasma.github.io/Logging_1861/klagomålsmail/A 30594-2022 FSC-klagomål mail.docx", "A 30594-2022")</f>
        <v/>
      </c>
      <c r="AA47">
        <f>HYPERLINK("https://klasma.github.io/Logging_1861/tillsyn/A 30594-2022 tillsynsbegäran.docx", "A 30594-2022")</f>
        <v/>
      </c>
      <c r="AB47">
        <f>HYPERLINK("https://klasma.github.io/Logging_1861/tillsynsmail/A 30594-2022 tillsynsbegäran mail.docx", "A 30594-2022")</f>
        <v/>
      </c>
    </row>
    <row r="48" ht="15" customHeight="1">
      <c r="A48" t="inlineStr">
        <is>
          <t>A 39249-2022</t>
        </is>
      </c>
      <c r="B48" t="inlineStr">
        <is>
          <t>avverkningsanmälan</t>
        </is>
      </c>
      <c r="C48" t="inlineStr">
        <is>
          <t>Föryngringsavverkning</t>
        </is>
      </c>
      <c r="D48" s="1" t="n">
        <v>44816</v>
      </c>
      <c r="E48" s="1" t="n">
        <v>46222</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s="2" t="inlineStr">
        <is>
          <t>Talltita
Björksplintborre</t>
        </is>
      </c>
      <c r="V48">
        <f>HYPERLINK("https://klasma.github.io/Logging_1861/artfynd/A 39249-2022 artfynd.xlsx", "A 39249-2022")</f>
        <v/>
      </c>
      <c r="W48">
        <f>HYPERLINK("https://klasma.github.io/Logging_1861/kartor/A 39249-2022 karta.png", "A 39249-2022")</f>
        <v/>
      </c>
      <c r="Y48">
        <f>HYPERLINK("https://klasma.github.io/Logging_1861/klagomål/A 39249-2022 FSC-klagomål.docx", "A 39249-2022")</f>
        <v/>
      </c>
      <c r="Z48">
        <f>HYPERLINK("https://klasma.github.io/Logging_1861/klagomålsmail/A 39249-2022 FSC-klagomål mail.docx", "A 39249-2022")</f>
        <v/>
      </c>
      <c r="AA48">
        <f>HYPERLINK("https://klasma.github.io/Logging_1861/tillsyn/A 39249-2022 tillsynsbegäran.docx", "A 39249-2022")</f>
        <v/>
      </c>
      <c r="AB48">
        <f>HYPERLINK("https://klasma.github.io/Logging_1861/tillsynsmail/A 39249-2022 tillsynsbegäran mail.docx", "A 39249-2022")</f>
        <v/>
      </c>
      <c r="AC48">
        <f>HYPERLINK("https://klasma.github.io/Logging_1861/fåglar/A 39249-2022 prioriterade fågelarter.docx", "A 39249-2022")</f>
        <v/>
      </c>
    </row>
    <row r="49" ht="15" customHeight="1">
      <c r="A49" t="inlineStr">
        <is>
          <t>A 14619-2024</t>
        </is>
      </c>
      <c r="B49" t="inlineStr">
        <is>
          <t>avverkningsanmälan</t>
        </is>
      </c>
      <c r="C49" t="inlineStr">
        <is>
          <t>Avverkning för att bevara och utveckla /försöksver</t>
        </is>
      </c>
      <c r="D49" s="1" t="n">
        <v>45397</v>
      </c>
      <c r="E49" s="1" t="n">
        <v>46222</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s="2" t="inlineStr">
        <is>
          <t>Tvåblad
Utter</t>
        </is>
      </c>
      <c r="V49">
        <f>HYPERLINK("https://klasma.github.io/Logging_1861/artfynd/A 14619-2024 artfynd.xlsx", "A 14619-2024")</f>
        <v/>
      </c>
      <c r="W49">
        <f>HYPERLINK("https://klasma.github.io/Logging_1861/kartor/A 14619-2024 karta.png", "A 14619-2024")</f>
        <v/>
      </c>
      <c r="Y49">
        <f>HYPERLINK("https://klasma.github.io/Logging_1861/klagomål/A 14619-2024 FSC-klagomål.docx", "A 14619-2024")</f>
        <v/>
      </c>
      <c r="Z49">
        <f>HYPERLINK("https://klasma.github.io/Logging_1861/klagomålsmail/A 14619-2024 FSC-klagomål mail.docx", "A 14619-2024")</f>
        <v/>
      </c>
      <c r="AA49">
        <f>HYPERLINK("https://klasma.github.io/Logging_1861/tillsyn/A 14619-2024 tillsynsbegäran.docx", "A 14619-2024")</f>
        <v/>
      </c>
      <c r="AB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46222</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s="2" t="inlineStr">
        <is>
          <t>Blåsippa
Grönvit nattviol</t>
        </is>
      </c>
      <c r="V50">
        <f>HYPERLINK("https://klasma.github.io/Logging_1861/artfynd/S 1797-2024 artfynd.xlsx", "S 1797-2024")</f>
        <v/>
      </c>
      <c r="W50">
        <f>HYPERLINK("https://klasma.github.io/Logging_1861/kartor/S 1797-2024 karta.png", "S 1797-2024")</f>
        <v/>
      </c>
      <c r="Y50">
        <f>HYPERLINK("https://klasma.github.io/Logging_1861/klagomål/S 1797-2024 FSC-klagomål.docx", "S 1797-2024")</f>
        <v/>
      </c>
      <c r="Z50">
        <f>HYPERLINK("https://klasma.github.io/Logging_1861/klagomålsmail/S 1797-2024 FSC-klagomål mail.docx", "S 1797-2024")</f>
        <v/>
      </c>
      <c r="AA50">
        <f>HYPERLINK("https://klasma.github.io/Logging_1861/tillsyn/S 1797-2024 tillsynsbegäran.docx", "S 1797-2024")</f>
        <v/>
      </c>
      <c r="AB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46222</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s="2" t="inlineStr">
        <is>
          <t>Sexfläckig bastardsvärmare
Silverblåvinge</t>
        </is>
      </c>
      <c r="V51">
        <f>HYPERLINK("https://klasma.github.io/Logging_1861/artfynd/S 102-2023 artfynd.xlsx", "S 102-2023")</f>
        <v/>
      </c>
      <c r="W51">
        <f>HYPERLINK("https://klasma.github.io/Logging_1861/kartor/S 102-2023 karta.png", "S 102-2023")</f>
        <v/>
      </c>
      <c r="Y51">
        <f>HYPERLINK("https://klasma.github.io/Logging_1861/klagomål/S 102-2023 FSC-klagomål.docx", "S 102-2023")</f>
        <v/>
      </c>
      <c r="Z51">
        <f>HYPERLINK("https://klasma.github.io/Logging_1861/klagomålsmail/S 102-2023 FSC-klagomål mail.docx", "S 102-2023")</f>
        <v/>
      </c>
      <c r="AA51">
        <f>HYPERLINK("https://klasma.github.io/Logging_1861/tillsyn/S 102-2023 tillsynsbegäran.docx", "S 102-2023")</f>
        <v/>
      </c>
      <c r="AB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46222</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s="2" t="inlineStr">
        <is>
          <t>Vedtrappmossa
Vanlig flatbagge</t>
        </is>
      </c>
      <c r="V52">
        <f>HYPERLINK("https://klasma.github.io/Logging_1861/artfynd/S 2839-2025 artfynd.xlsx", "S 2839-2025")</f>
        <v/>
      </c>
      <c r="W52">
        <f>HYPERLINK("https://klasma.github.io/Logging_1861/kartor/S 2839-2025 karta.png", "S 2839-2025")</f>
        <v/>
      </c>
      <c r="Y52">
        <f>HYPERLINK("https://klasma.github.io/Logging_1861/klagomål/S 2839-2025 FSC-klagomål.docx", "S 2839-2025")</f>
        <v/>
      </c>
      <c r="Z52">
        <f>HYPERLINK("https://klasma.github.io/Logging_1861/klagomålsmail/S 2839-2025 FSC-klagomål mail.docx", "S 2839-2025")</f>
        <v/>
      </c>
      <c r="AA52">
        <f>HYPERLINK("https://klasma.github.io/Logging_1861/tillsyn/S 2839-2025 tillsynsbegäran.docx", "S 2839-2025")</f>
        <v/>
      </c>
      <c r="AB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46222</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s="2" t="inlineStr">
        <is>
          <t>Knärot</t>
        </is>
      </c>
      <c r="V53">
        <f>HYPERLINK("https://klasma.github.io/Logging_1861/artfynd/A 49670-2022 artfynd.xlsx", "A 49670-2022")</f>
        <v/>
      </c>
      <c r="W53">
        <f>HYPERLINK("https://klasma.github.io/Logging_1861/kartor/A 49670-2022 karta.png", "A 49670-2022")</f>
        <v/>
      </c>
      <c r="X53">
        <f>HYPERLINK("https://klasma.github.io/Logging_1861/knärot/A 49670-2022 karta knärot.png", "A 49670-2022")</f>
        <v/>
      </c>
      <c r="Y53">
        <f>HYPERLINK("https://klasma.github.io/Logging_1861/klagomål/A 49670-2022 FSC-klagomål.docx", "A 49670-2022")</f>
        <v/>
      </c>
      <c r="Z53">
        <f>HYPERLINK("https://klasma.github.io/Logging_1861/klagomålsmail/A 49670-2022 FSC-klagomål mail.docx", "A 49670-2022")</f>
        <v/>
      </c>
      <c r="AA53">
        <f>HYPERLINK("https://klasma.github.io/Logging_1861/tillsyn/A 49670-2022 tillsynsbegäran.docx", "A 49670-2022")</f>
        <v/>
      </c>
      <c r="AB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46222</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s="2" t="inlineStr">
        <is>
          <t>Huggorm</t>
        </is>
      </c>
      <c r="V54">
        <f>HYPERLINK("https://klasma.github.io/Logging_1861/artfynd/A 56068-2021 artfynd.xlsx", "A 56068-2021")</f>
        <v/>
      </c>
      <c r="W54">
        <f>HYPERLINK("https://klasma.github.io/Logging_1861/kartor/A 56068-2021 karta.png", "A 56068-2021")</f>
        <v/>
      </c>
      <c r="Y54">
        <f>HYPERLINK("https://klasma.github.io/Logging_1861/klagomål/A 56068-2021 FSC-klagomål.docx", "A 56068-2021")</f>
        <v/>
      </c>
      <c r="Z54">
        <f>HYPERLINK("https://klasma.github.io/Logging_1861/klagomålsmail/A 56068-2021 FSC-klagomål mail.docx", "A 56068-2021")</f>
        <v/>
      </c>
      <c r="AA54">
        <f>HYPERLINK("https://klasma.github.io/Logging_1861/tillsyn/A 56068-2021 tillsynsbegäran.docx", "A 56068-2021")</f>
        <v/>
      </c>
      <c r="AB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46222</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s="2" t="inlineStr">
        <is>
          <t>Svartvit flugsnappare</t>
        </is>
      </c>
      <c r="V55">
        <f>HYPERLINK("https://klasma.github.io/Logging_1861/artfynd/A 9426-2022 artfynd.xlsx", "A 9426-2022")</f>
        <v/>
      </c>
      <c r="W55">
        <f>HYPERLINK("https://klasma.github.io/Logging_1861/kartor/A 9426-2022 karta.png", "A 9426-2022")</f>
        <v/>
      </c>
      <c r="Y55">
        <f>HYPERLINK("https://klasma.github.io/Logging_1861/klagomål/A 9426-2022 FSC-klagomål.docx", "A 9426-2022")</f>
        <v/>
      </c>
      <c r="Z55">
        <f>HYPERLINK("https://klasma.github.io/Logging_1861/klagomålsmail/A 9426-2022 FSC-klagomål mail.docx", "A 9426-2022")</f>
        <v/>
      </c>
      <c r="AA55">
        <f>HYPERLINK("https://klasma.github.io/Logging_1861/tillsyn/A 9426-2022 tillsynsbegäran.docx", "A 9426-2022")</f>
        <v/>
      </c>
      <c r="AB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46222</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s="2" t="inlineStr">
        <is>
          <t>Blåmossa</t>
        </is>
      </c>
      <c r="V56">
        <f>HYPERLINK("https://klasma.github.io/Logging_1861/artfynd/A 55115-2022 artfynd.xlsx", "A 55115-2022")</f>
        <v/>
      </c>
      <c r="W56">
        <f>HYPERLINK("https://klasma.github.io/Logging_1861/kartor/A 55115-2022 karta.png", "A 55115-2022")</f>
        <v/>
      </c>
      <c r="Y56">
        <f>HYPERLINK("https://klasma.github.io/Logging_1861/klagomål/A 55115-2022 FSC-klagomål.docx", "A 55115-2022")</f>
        <v/>
      </c>
      <c r="Z56">
        <f>HYPERLINK("https://klasma.github.io/Logging_1861/klagomålsmail/A 55115-2022 FSC-klagomål mail.docx", "A 55115-2022")</f>
        <v/>
      </c>
      <c r="AA56">
        <f>HYPERLINK("https://klasma.github.io/Logging_1861/tillsyn/A 55115-2022 tillsynsbegäran.docx", "A 55115-2022")</f>
        <v/>
      </c>
      <c r="AB56">
        <f>HYPERLINK("https://klasma.github.io/Logging_1861/tillsynsmail/A 55115-2022 tillsynsbegäran mail.docx", "A 55115-2022")</f>
        <v/>
      </c>
    </row>
    <row r="57" ht="15" customHeight="1">
      <c r="A57" t="inlineStr">
        <is>
          <t>A 41807-2025</t>
        </is>
      </c>
      <c r="B57" t="inlineStr">
        <is>
          <t>avverkningsanmälan</t>
        </is>
      </c>
      <c r="C57" t="inlineStr">
        <is>
          <t>Föryngringsavverkning</t>
        </is>
      </c>
      <c r="D57" s="1" t="n">
        <v>45902</v>
      </c>
      <c r="E57" s="1" t="n">
        <v>46222</v>
      </c>
      <c r="F57" t="inlineStr">
        <is>
          <t>ÖREBRO LÄN</t>
        </is>
      </c>
      <c r="G57" t="inlineStr">
        <is>
          <t>HALLSBERG</t>
        </is>
      </c>
      <c r="I57" t="n">
        <v>5.1</v>
      </c>
      <c r="J57" t="n">
        <v>1</v>
      </c>
      <c r="K57" t="n">
        <v>0</v>
      </c>
      <c r="L57" t="n">
        <v>0</v>
      </c>
      <c r="M57" t="n">
        <v>0</v>
      </c>
      <c r="N57" t="n">
        <v>0</v>
      </c>
      <c r="O57" t="n">
        <v>0</v>
      </c>
      <c r="P57" t="n">
        <v>0</v>
      </c>
      <c r="Q57" t="n">
        <v>0</v>
      </c>
      <c r="R57" t="n">
        <v>0</v>
      </c>
      <c r="S57" t="n">
        <v>1</v>
      </c>
      <c r="T57" t="n">
        <v>1</v>
      </c>
      <c r="U57" s="2" t="inlineStr">
        <is>
          <t>Svartvit flugsnappare</t>
        </is>
      </c>
      <c r="V57">
        <f>HYPERLINK("https://klasma.github.io/Logging_1861/artfynd/A 41807-2025 artfynd.xlsx", "A 41807-2025")</f>
        <v/>
      </c>
      <c r="W57">
        <f>HYPERLINK("https://klasma.github.io/Logging_1861/kartor/A 41807-2025 karta.png", "A 41807-2025")</f>
        <v/>
      </c>
      <c r="Y57">
        <f>HYPERLINK("https://klasma.github.io/Logging_1861/klagomål/A 41807-2025 FSC-klagomål.docx", "A 41807-2025")</f>
        <v/>
      </c>
      <c r="Z57">
        <f>HYPERLINK("https://klasma.github.io/Logging_1861/klagomålsmail/A 41807-2025 FSC-klagomål mail.docx", "A 41807-2025")</f>
        <v/>
      </c>
      <c r="AA57">
        <f>HYPERLINK("https://klasma.github.io/Logging_1861/tillsyn/A 41807-2025 tillsynsbegäran.docx", "A 41807-2025")</f>
        <v/>
      </c>
      <c r="AB57">
        <f>HYPERLINK("https://klasma.github.io/Logging_1861/tillsynsmail/A 41807-2025 tillsynsbegäran mail.docx", "A 41807-2025")</f>
        <v/>
      </c>
    </row>
    <row r="58" ht="15" customHeight="1">
      <c r="A58" t="inlineStr">
        <is>
          <t>A 43380-2025</t>
        </is>
      </c>
      <c r="B58" t="inlineStr">
        <is>
          <t>avverkningsanmälan</t>
        </is>
      </c>
      <c r="C58" t="inlineStr">
        <is>
          <t>Föryngringsavverkning</t>
        </is>
      </c>
      <c r="D58" s="1" t="n">
        <v>45911</v>
      </c>
      <c r="E58" s="1" t="n">
        <v>46222</v>
      </c>
      <c r="F58" t="inlineStr">
        <is>
          <t>ÖREBRO LÄN</t>
        </is>
      </c>
      <c r="G58" t="inlineStr">
        <is>
          <t>HALLSBERG</t>
        </is>
      </c>
      <c r="H58" t="inlineStr">
        <is>
          <t>Sveaskog</t>
        </is>
      </c>
      <c r="I58" t="n">
        <v>9.4</v>
      </c>
      <c r="J58" t="n">
        <v>1</v>
      </c>
      <c r="K58" t="n">
        <v>0</v>
      </c>
      <c r="L58" t="n">
        <v>0</v>
      </c>
      <c r="M58" t="n">
        <v>0</v>
      </c>
      <c r="N58" t="n">
        <v>0</v>
      </c>
      <c r="O58" t="n">
        <v>0</v>
      </c>
      <c r="P58" t="n">
        <v>0</v>
      </c>
      <c r="Q58" t="n">
        <v>0</v>
      </c>
      <c r="R58" t="n">
        <v>0</v>
      </c>
      <c r="S58" t="n">
        <v>1</v>
      </c>
      <c r="T58" t="n">
        <v>1</v>
      </c>
      <c r="U58" s="2" t="inlineStr">
        <is>
          <t>Kungsfågel</t>
        </is>
      </c>
      <c r="V58">
        <f>HYPERLINK("https://klasma.github.io/Logging_1861/artfynd/A 43380-2025 artfynd.xlsx", "A 43380-2025")</f>
        <v/>
      </c>
      <c r="W58">
        <f>HYPERLINK("https://klasma.github.io/Logging_1861/kartor/A 43380-2025 karta.png", "A 43380-2025")</f>
        <v/>
      </c>
      <c r="Y58">
        <f>HYPERLINK("https://klasma.github.io/Logging_1861/klagomål/A 43380-2025 FSC-klagomål.docx", "A 43380-2025")</f>
        <v/>
      </c>
      <c r="Z58">
        <f>HYPERLINK("https://klasma.github.io/Logging_1861/klagomålsmail/A 43380-2025 FSC-klagomål mail.docx", "A 43380-2025")</f>
        <v/>
      </c>
      <c r="AA58">
        <f>HYPERLINK("https://klasma.github.io/Logging_1861/tillsyn/A 43380-2025 tillsynsbegäran.docx", "A 43380-2025")</f>
        <v/>
      </c>
      <c r="AB58">
        <f>HYPERLINK("https://klasma.github.io/Logging_1861/tillsynsmail/A 43380-2025 tillsynsbegäran mail.docx", "A 43380-2025")</f>
        <v/>
      </c>
    </row>
    <row r="59" ht="15" customHeight="1">
      <c r="A59" t="inlineStr">
        <is>
          <t>A 19853-2022</t>
        </is>
      </c>
      <c r="B59" t="inlineStr">
        <is>
          <t>avverkningsanmälan</t>
        </is>
      </c>
      <c r="C59" t="inlineStr">
        <is>
          <t>Föryngringsavverkning</t>
        </is>
      </c>
      <c r="D59" s="1" t="n">
        <v>44696</v>
      </c>
      <c r="E59" s="1" t="n">
        <v>46222</v>
      </c>
      <c r="F59" t="inlineStr">
        <is>
          <t>ÖREBRO LÄN</t>
        </is>
      </c>
      <c r="G59" t="inlineStr">
        <is>
          <t>HALLSBERG</t>
        </is>
      </c>
      <c r="H59" t="inlineStr">
        <is>
          <t>Sveaskog</t>
        </is>
      </c>
      <c r="I59" t="n">
        <v>1.6</v>
      </c>
      <c r="J59" t="n">
        <v>1</v>
      </c>
      <c r="K59" t="n">
        <v>0</v>
      </c>
      <c r="L59" t="n">
        <v>0</v>
      </c>
      <c r="M59" t="n">
        <v>0</v>
      </c>
      <c r="N59" t="n">
        <v>0</v>
      </c>
      <c r="O59" t="n">
        <v>0</v>
      </c>
      <c r="P59" t="n">
        <v>0</v>
      </c>
      <c r="Q59" t="n">
        <v>0</v>
      </c>
      <c r="R59" t="n">
        <v>0</v>
      </c>
      <c r="S59" t="n">
        <v>1</v>
      </c>
      <c r="T59" t="n">
        <v>1</v>
      </c>
      <c r="U59" s="2" t="inlineStr">
        <is>
          <t>Större vattensalamander</t>
        </is>
      </c>
      <c r="V59">
        <f>HYPERLINK("https://klasma.github.io/Logging_1861/artfynd/A 19853-2022 artfynd.xlsx", "A 19853-2022")</f>
        <v/>
      </c>
      <c r="W59">
        <f>HYPERLINK("https://klasma.github.io/Logging_1861/kartor/A 19853-2022 karta.png", "A 19853-2022")</f>
        <v/>
      </c>
      <c r="Y59">
        <f>HYPERLINK("https://klasma.github.io/Logging_1861/klagomål/A 19853-2022 FSC-klagomål.docx", "A 19853-2022")</f>
        <v/>
      </c>
      <c r="Z59">
        <f>HYPERLINK("https://klasma.github.io/Logging_1861/klagomålsmail/A 19853-2022 FSC-klagomål mail.docx", "A 19853-2022")</f>
        <v/>
      </c>
      <c r="AA59">
        <f>HYPERLINK("https://klasma.github.io/Logging_1861/tillsyn/A 19853-2022 tillsynsbegäran.docx", "A 19853-2022")</f>
        <v/>
      </c>
      <c r="AB59">
        <f>HYPERLINK("https://klasma.github.io/Logging_1861/tillsynsmail/A 19853-2022 tillsynsbegäran mail.docx", "A 19853-2022")</f>
        <v/>
      </c>
    </row>
    <row r="60" ht="15" customHeight="1">
      <c r="A60" t="inlineStr">
        <is>
          <t>A 37049-2025</t>
        </is>
      </c>
      <c r="B60" t="inlineStr">
        <is>
          <t>avverkningsanmälan</t>
        </is>
      </c>
      <c r="C60" t="inlineStr">
        <is>
          <t>Föryngringsavverkning</t>
        </is>
      </c>
      <c r="D60" s="1" t="n">
        <v>45875</v>
      </c>
      <c r="E60" s="1" t="n">
        <v>46222</v>
      </c>
      <c r="F60" t="inlineStr">
        <is>
          <t>ÖREBRO LÄN</t>
        </is>
      </c>
      <c r="G60" t="inlineStr">
        <is>
          <t>HALLSBERG</t>
        </is>
      </c>
      <c r="I60" t="n">
        <v>3</v>
      </c>
      <c r="J60" t="n">
        <v>0</v>
      </c>
      <c r="K60" t="n">
        <v>1</v>
      </c>
      <c r="L60" t="n">
        <v>0</v>
      </c>
      <c r="M60" t="n">
        <v>0</v>
      </c>
      <c r="N60" t="n">
        <v>0</v>
      </c>
      <c r="O60" t="n">
        <v>0</v>
      </c>
      <c r="P60" t="n">
        <v>0</v>
      </c>
      <c r="Q60" t="n">
        <v>0</v>
      </c>
      <c r="R60" t="n">
        <v>0</v>
      </c>
      <c r="S60" t="n">
        <v>1</v>
      </c>
      <c r="T60" t="n">
        <v>1</v>
      </c>
      <c r="U60" s="2" t="inlineStr">
        <is>
          <t>Blomkålssvamp</t>
        </is>
      </c>
      <c r="V60">
        <f>HYPERLINK("https://klasma.github.io/Logging_1861/artfynd/A 37049-2025 artfynd.xlsx", "A 37049-2025")</f>
        <v/>
      </c>
      <c r="W60">
        <f>HYPERLINK("https://klasma.github.io/Logging_1861/kartor/A 37049-2025 karta.png", "A 37049-2025")</f>
        <v/>
      </c>
      <c r="Y60">
        <f>HYPERLINK("https://klasma.github.io/Logging_1861/klagomål/A 37049-2025 FSC-klagomål.docx", "A 37049-2025")</f>
        <v/>
      </c>
      <c r="Z60">
        <f>HYPERLINK("https://klasma.github.io/Logging_1861/klagomålsmail/A 37049-2025 FSC-klagomål mail.docx", "A 37049-2025")</f>
        <v/>
      </c>
      <c r="AA60">
        <f>HYPERLINK("https://klasma.github.io/Logging_1861/tillsyn/A 37049-2025 tillsynsbegäran.docx", "A 37049-2025")</f>
        <v/>
      </c>
      <c r="AB60">
        <f>HYPERLINK("https://klasma.github.io/Logging_1861/tillsynsmail/A 37049-2025 tillsynsbegäran mail.docx", "A 37049-2025")</f>
        <v/>
      </c>
    </row>
    <row r="61" ht="15" customHeight="1">
      <c r="A61" t="inlineStr">
        <is>
          <t>A 37048-2025</t>
        </is>
      </c>
      <c r="B61" t="inlineStr">
        <is>
          <t>avverkningsanmälan</t>
        </is>
      </c>
      <c r="C61" t="inlineStr">
        <is>
          <t>Föryngringsavverkning</t>
        </is>
      </c>
      <c r="D61" s="1" t="n">
        <v>45875</v>
      </c>
      <c r="E61" s="1" t="n">
        <v>46222</v>
      </c>
      <c r="F61" t="inlineStr">
        <is>
          <t>ÖREBRO LÄN</t>
        </is>
      </c>
      <c r="G61" t="inlineStr">
        <is>
          <t>HALLSBERG</t>
        </is>
      </c>
      <c r="I61" t="n">
        <v>7</v>
      </c>
      <c r="J61" t="n">
        <v>1</v>
      </c>
      <c r="K61" t="n">
        <v>0</v>
      </c>
      <c r="L61" t="n">
        <v>0</v>
      </c>
      <c r="M61" t="n">
        <v>0</v>
      </c>
      <c r="N61" t="n">
        <v>0</v>
      </c>
      <c r="O61" t="n">
        <v>0</v>
      </c>
      <c r="P61" t="n">
        <v>0</v>
      </c>
      <c r="Q61" t="n">
        <v>0</v>
      </c>
      <c r="R61" t="n">
        <v>0</v>
      </c>
      <c r="S61" t="n">
        <v>1</v>
      </c>
      <c r="T61" t="n">
        <v>1</v>
      </c>
      <c r="U61" s="2" t="inlineStr">
        <is>
          <t>Nattskärra</t>
        </is>
      </c>
      <c r="V61">
        <f>HYPERLINK("https://klasma.github.io/Logging_1861/artfynd/A 37048-2025 artfynd.xlsx", "A 37048-2025")</f>
        <v/>
      </c>
      <c r="W61">
        <f>HYPERLINK("https://klasma.github.io/Logging_1861/kartor/A 37048-2025 karta.png", "A 37048-2025")</f>
        <v/>
      </c>
      <c r="Y61">
        <f>HYPERLINK("https://klasma.github.io/Logging_1861/klagomål/A 37048-2025 FSC-klagomål.docx", "A 37048-2025")</f>
        <v/>
      </c>
      <c r="Z61">
        <f>HYPERLINK("https://klasma.github.io/Logging_1861/klagomålsmail/A 37048-2025 FSC-klagomål mail.docx", "A 37048-2025")</f>
        <v/>
      </c>
      <c r="AA61">
        <f>HYPERLINK("https://klasma.github.io/Logging_1861/tillsyn/A 37048-2025 tillsynsbegäran.docx", "A 37048-2025")</f>
        <v/>
      </c>
      <c r="AB61">
        <f>HYPERLINK("https://klasma.github.io/Logging_1861/tillsynsmail/A 37048-2025 tillsynsbegäran mail.docx", "A 37048-2025")</f>
        <v/>
      </c>
      <c r="AC61">
        <f>HYPERLINK("https://klasma.github.io/Logging_1861/fåglar/A 37048-2025 prioriterade fågelarter.docx", "A 37048-2025")</f>
        <v/>
      </c>
    </row>
    <row r="62" ht="15" customHeight="1">
      <c r="A62" t="inlineStr">
        <is>
          <t>A 38010-2025</t>
        </is>
      </c>
      <c r="B62" t="inlineStr">
        <is>
          <t>avverkningsanmälan</t>
        </is>
      </c>
      <c r="C62" t="inlineStr">
        <is>
          <t>Föryngringsavverkning</t>
        </is>
      </c>
      <c r="D62" s="1" t="n">
        <v>45882</v>
      </c>
      <c r="E62" s="1" t="n">
        <v>46222</v>
      </c>
      <c r="F62" t="inlineStr">
        <is>
          <t>ÖREBRO LÄN</t>
        </is>
      </c>
      <c r="G62" t="inlineStr">
        <is>
          <t>HALLSBERG</t>
        </is>
      </c>
      <c r="I62" t="n">
        <v>3.9</v>
      </c>
      <c r="J62" t="n">
        <v>1</v>
      </c>
      <c r="K62" t="n">
        <v>0</v>
      </c>
      <c r="L62" t="n">
        <v>0</v>
      </c>
      <c r="M62" t="n">
        <v>0</v>
      </c>
      <c r="N62" t="n">
        <v>0</v>
      </c>
      <c r="O62" t="n">
        <v>0</v>
      </c>
      <c r="P62" t="n">
        <v>0</v>
      </c>
      <c r="Q62" t="n">
        <v>0</v>
      </c>
      <c r="R62" t="n">
        <v>0</v>
      </c>
      <c r="S62" t="n">
        <v>1</v>
      </c>
      <c r="T62" t="n">
        <v>1</v>
      </c>
      <c r="U62" s="2" t="inlineStr">
        <is>
          <t>Nattskärra</t>
        </is>
      </c>
      <c r="V62">
        <f>HYPERLINK("https://klasma.github.io/Logging_1861/artfynd/A 38010-2025 artfynd.xlsx", "A 38010-2025")</f>
        <v/>
      </c>
      <c r="W62">
        <f>HYPERLINK("https://klasma.github.io/Logging_1861/kartor/A 38010-2025 karta.png", "A 38010-2025")</f>
        <v/>
      </c>
      <c r="Y62">
        <f>HYPERLINK("https://klasma.github.io/Logging_1861/klagomål/A 38010-2025 FSC-klagomål.docx", "A 38010-2025")</f>
        <v/>
      </c>
      <c r="Z62">
        <f>HYPERLINK("https://klasma.github.io/Logging_1861/klagomålsmail/A 38010-2025 FSC-klagomål mail.docx", "A 38010-2025")</f>
        <v/>
      </c>
      <c r="AA62">
        <f>HYPERLINK("https://klasma.github.io/Logging_1861/tillsyn/A 38010-2025 tillsynsbegäran.docx", "A 38010-2025")</f>
        <v/>
      </c>
      <c r="AB62">
        <f>HYPERLINK("https://klasma.github.io/Logging_1861/tillsynsmail/A 38010-2025 tillsynsbegäran mail.docx", "A 38010-2025")</f>
        <v/>
      </c>
      <c r="AC62">
        <f>HYPERLINK("https://klasma.github.io/Logging_1861/fåglar/A 38010-2025 prioriterade fågelarter.docx", "A 38010-2025")</f>
        <v/>
      </c>
    </row>
    <row r="63" ht="15" customHeight="1">
      <c r="A63" t="inlineStr">
        <is>
          <t>A 7989-2026</t>
        </is>
      </c>
      <c r="B63" t="inlineStr">
        <is>
          <t>avverkningsanmälan</t>
        </is>
      </c>
      <c r="C63" t="inlineStr">
        <is>
          <t>Föryngringsavverkning</t>
        </is>
      </c>
      <c r="D63" s="1" t="n">
        <v>46063</v>
      </c>
      <c r="E63" s="1" t="n">
        <v>46222</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s="2" t="inlineStr">
        <is>
          <t>Scharlakansskål</t>
        </is>
      </c>
      <c r="V63">
        <f>HYPERLINK("https://klasma.github.io/Logging_1861/artfynd/A 7989-2026 artfynd.xlsx", "A 7989-2026")</f>
        <v/>
      </c>
      <c r="W63">
        <f>HYPERLINK("https://klasma.github.io/Logging_1861/kartor/A 7989-2026 karta.png", "A 7989-2026")</f>
        <v/>
      </c>
      <c r="Y63">
        <f>HYPERLINK("https://klasma.github.io/Logging_1861/klagomål/A 7989-2026 FSC-klagomål.docx", "A 7989-2026")</f>
        <v/>
      </c>
      <c r="Z63">
        <f>HYPERLINK("https://klasma.github.io/Logging_1861/klagomålsmail/A 7989-2026 FSC-klagomål mail.docx", "A 7989-2026")</f>
        <v/>
      </c>
      <c r="AA63">
        <f>HYPERLINK("https://klasma.github.io/Logging_1861/tillsyn/A 7989-2026 tillsynsbegäran.docx", "A 7989-2026")</f>
        <v/>
      </c>
      <c r="AB63">
        <f>HYPERLINK("https://klasma.github.io/Logging_1861/tillsynsmail/A 7989-2026 tillsynsbegäran mail.docx", "A 7989-2026")</f>
        <v/>
      </c>
    </row>
    <row r="64" ht="15" customHeight="1">
      <c r="A64" t="inlineStr">
        <is>
          <t>A 31994-2022</t>
        </is>
      </c>
      <c r="B64" t="inlineStr">
        <is>
          <t>avverkningsanmälan</t>
        </is>
      </c>
      <c r="C64" t="inlineStr">
        <is>
          <t>Föryngringsavverkning</t>
        </is>
      </c>
      <c r="D64" s="1" t="n">
        <v>44778</v>
      </c>
      <c r="E64" s="1" t="n">
        <v>46222</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s="2" t="inlineStr">
        <is>
          <t>Grönvit nattviol</t>
        </is>
      </c>
      <c r="V64">
        <f>HYPERLINK("https://klasma.github.io/Logging_1861/artfynd/A 31994-2022 artfynd.xlsx", "A 31994-2022")</f>
        <v/>
      </c>
      <c r="W64">
        <f>HYPERLINK("https://klasma.github.io/Logging_1861/kartor/A 31994-2022 karta.png", "A 31994-2022")</f>
        <v/>
      </c>
      <c r="Y64">
        <f>HYPERLINK("https://klasma.github.io/Logging_1861/klagomål/A 31994-2022 FSC-klagomål.docx", "A 31994-2022")</f>
        <v/>
      </c>
      <c r="Z64">
        <f>HYPERLINK("https://klasma.github.io/Logging_1861/klagomålsmail/A 31994-2022 FSC-klagomål mail.docx", "A 31994-2022")</f>
        <v/>
      </c>
      <c r="AA64">
        <f>HYPERLINK("https://klasma.github.io/Logging_1861/tillsyn/A 31994-2022 tillsynsbegäran.docx", "A 31994-2022")</f>
        <v/>
      </c>
      <c r="AB64">
        <f>HYPERLINK("https://klasma.github.io/Logging_1861/tillsynsmail/A 31994-2022 tillsynsbegäran mail.docx", "A 31994-2022")</f>
        <v/>
      </c>
    </row>
    <row r="65" ht="15" customHeight="1">
      <c r="A65" t="inlineStr">
        <is>
          <t>A 3037-2026</t>
        </is>
      </c>
      <c r="B65" t="inlineStr">
        <is>
          <t>avverkningsanmälan</t>
        </is>
      </c>
      <c r="C65" t="inlineStr">
        <is>
          <t>Föryngringsavverkning</t>
        </is>
      </c>
      <c r="D65" s="1" t="n">
        <v>46038</v>
      </c>
      <c r="E65" s="1" t="n">
        <v>46222</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s="2" t="inlineStr">
        <is>
          <t>Utter</t>
        </is>
      </c>
      <c r="V65">
        <f>HYPERLINK("https://klasma.github.io/Logging_1861/artfynd/A 3037-2026 artfynd.xlsx", "A 3037-2026")</f>
        <v/>
      </c>
      <c r="W65">
        <f>HYPERLINK("https://klasma.github.io/Logging_1861/kartor/A 3037-2026 karta.png", "A 3037-2026")</f>
        <v/>
      </c>
      <c r="Y65">
        <f>HYPERLINK("https://klasma.github.io/Logging_1861/klagomål/A 3037-2026 FSC-klagomål.docx", "A 3037-2026")</f>
        <v/>
      </c>
      <c r="Z65">
        <f>HYPERLINK("https://klasma.github.io/Logging_1861/klagomålsmail/A 3037-2026 FSC-klagomål mail.docx", "A 3037-2026")</f>
        <v/>
      </c>
      <c r="AA65">
        <f>HYPERLINK("https://klasma.github.io/Logging_1861/tillsyn/A 3037-2026 tillsynsbegäran.docx", "A 3037-2026")</f>
        <v/>
      </c>
      <c r="AB65">
        <f>HYPERLINK("https://klasma.github.io/Logging_1861/tillsynsmail/A 3037-2026 tillsynsbegäran mail.docx", "A 3037-2026")</f>
        <v/>
      </c>
    </row>
    <row r="66" ht="15" customHeight="1">
      <c r="A66" t="inlineStr">
        <is>
          <t>A 17017-2023</t>
        </is>
      </c>
      <c r="B66" t="inlineStr">
        <is>
          <t>avverkningsanmälan</t>
        </is>
      </c>
      <c r="C66" t="inlineStr">
        <is>
          <t>Föryngringsavverkning</t>
        </is>
      </c>
      <c r="D66" s="1" t="n">
        <v>45034</v>
      </c>
      <c r="E66" s="1" t="n">
        <v>46222</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s="2" t="inlineStr">
        <is>
          <t>Ask</t>
        </is>
      </c>
      <c r="V66">
        <f>HYPERLINK("https://klasma.github.io/Logging_1861/artfynd/A 17017-2023 artfynd.xlsx", "A 17017-2023")</f>
        <v/>
      </c>
      <c r="W66">
        <f>HYPERLINK("https://klasma.github.io/Logging_1861/kartor/A 17017-2023 karta.png", "A 17017-2023")</f>
        <v/>
      </c>
      <c r="Y66">
        <f>HYPERLINK("https://klasma.github.io/Logging_1861/klagomål/A 17017-2023 FSC-klagomål.docx", "A 17017-2023")</f>
        <v/>
      </c>
      <c r="Z66">
        <f>HYPERLINK("https://klasma.github.io/Logging_1861/klagomålsmail/A 17017-2023 FSC-klagomål mail.docx", "A 17017-2023")</f>
        <v/>
      </c>
      <c r="AA66">
        <f>HYPERLINK("https://klasma.github.io/Logging_1861/tillsyn/A 17017-2023 tillsynsbegäran.docx", "A 17017-2023")</f>
        <v/>
      </c>
      <c r="AB66">
        <f>HYPERLINK("https://klasma.github.io/Logging_1861/tillsynsmail/A 17017-2023 tillsynsbegäran mail.docx", "A 17017-2023")</f>
        <v/>
      </c>
    </row>
    <row r="67" ht="15" customHeight="1">
      <c r="A67" t="inlineStr">
        <is>
          <t>A 32547-2024</t>
        </is>
      </c>
      <c r="B67" t="inlineStr">
        <is>
          <t>avverkningsanmälan</t>
        </is>
      </c>
      <c r="C67" t="inlineStr">
        <is>
          <t>Föryngringsavverkning</t>
        </is>
      </c>
      <c r="D67" s="1" t="n">
        <v>45513</v>
      </c>
      <c r="E67" s="1" t="n">
        <v>46222</v>
      </c>
      <c r="F67" t="inlineStr">
        <is>
          <t>ÖREBRO LÄN</t>
        </is>
      </c>
      <c r="G67" t="inlineStr">
        <is>
          <t>HALLSBERG</t>
        </is>
      </c>
      <c r="I67" t="n">
        <v>3</v>
      </c>
      <c r="J67" t="n">
        <v>0</v>
      </c>
      <c r="K67" t="n">
        <v>1</v>
      </c>
      <c r="L67" t="n">
        <v>0</v>
      </c>
      <c r="M67" t="n">
        <v>0</v>
      </c>
      <c r="N67" t="n">
        <v>0</v>
      </c>
      <c r="O67" t="n">
        <v>0</v>
      </c>
      <c r="P67" t="n">
        <v>0</v>
      </c>
      <c r="Q67" t="n">
        <v>0</v>
      </c>
      <c r="R67" t="n">
        <v>0</v>
      </c>
      <c r="S67" t="n">
        <v>1</v>
      </c>
      <c r="T67" t="n">
        <v>1</v>
      </c>
      <c r="U67" s="2" t="inlineStr">
        <is>
          <t>Strutbräken</t>
        </is>
      </c>
      <c r="V67">
        <f>HYPERLINK("https://klasma.github.io/Logging_1861/artfynd/A 32547-2024 artfynd.xlsx", "A 32547-2024")</f>
        <v/>
      </c>
      <c r="W67">
        <f>HYPERLINK("https://klasma.github.io/Logging_1861/kartor/A 32547-2024 karta.png", "A 32547-2024")</f>
        <v/>
      </c>
      <c r="Y67">
        <f>HYPERLINK("https://klasma.github.io/Logging_1861/klagomål/A 32547-2024 FSC-klagomål.docx", "A 32547-2024")</f>
        <v/>
      </c>
      <c r="Z67">
        <f>HYPERLINK("https://klasma.github.io/Logging_1861/klagomålsmail/A 32547-2024 FSC-klagomål mail.docx", "A 32547-2024")</f>
        <v/>
      </c>
      <c r="AA67">
        <f>HYPERLINK("https://klasma.github.io/Logging_1861/tillsyn/A 32547-2024 tillsynsbegäran.docx", "A 32547-2024")</f>
        <v/>
      </c>
      <c r="AB67">
        <f>HYPERLINK("https://klasma.github.io/Logging_1861/tillsynsmail/A 32547-2024 tillsynsbegäran mail.docx", "A 32547-2024")</f>
        <v/>
      </c>
    </row>
    <row r="68" ht="15" customHeight="1">
      <c r="A68" t="inlineStr">
        <is>
          <t>A 51916-2025</t>
        </is>
      </c>
      <c r="B68" t="inlineStr">
        <is>
          <t>avverkningsanmälan</t>
        </is>
      </c>
      <c r="C68" t="inlineStr">
        <is>
          <t>Föryngringsavverkning</t>
        </is>
      </c>
      <c r="D68" s="1" t="n">
        <v>45952</v>
      </c>
      <c r="E68" s="1" t="n">
        <v>46222</v>
      </c>
      <c r="F68" t="inlineStr">
        <is>
          <t>ÖREBRO LÄN</t>
        </is>
      </c>
      <c r="G68" t="inlineStr">
        <is>
          <t>HALLSBERG</t>
        </is>
      </c>
      <c r="H68" t="inlineStr">
        <is>
          <t>Sveaskog</t>
        </is>
      </c>
      <c r="I68" t="n">
        <v>6</v>
      </c>
      <c r="J68" t="n">
        <v>0</v>
      </c>
      <c r="K68" t="n">
        <v>0</v>
      </c>
      <c r="L68" t="n">
        <v>0</v>
      </c>
      <c r="M68" t="n">
        <v>1</v>
      </c>
      <c r="N68" t="n">
        <v>0</v>
      </c>
      <c r="O68" t="n">
        <v>0</v>
      </c>
      <c r="P68" t="n">
        <v>0</v>
      </c>
      <c r="Q68" t="n">
        <v>1</v>
      </c>
      <c r="R68" t="n">
        <v>1</v>
      </c>
      <c r="S68" t="n">
        <v>1</v>
      </c>
      <c r="T68" t="n">
        <v>1</v>
      </c>
      <c r="U68" s="2" t="inlineStr">
        <is>
          <t>Hållav</t>
        </is>
      </c>
      <c r="V68">
        <f>HYPERLINK("https://klasma.github.io/Logging_1861/artfynd/A 51916-2025 artfynd.xlsx", "A 51916-2025")</f>
        <v/>
      </c>
      <c r="W68">
        <f>HYPERLINK("https://klasma.github.io/Logging_1861/kartor/A 51916-2025 karta.png", "A 51916-2025")</f>
        <v/>
      </c>
      <c r="Y68">
        <f>HYPERLINK("https://klasma.github.io/Logging_1861/klagomål/A 51916-2025 FSC-klagomål.docx", "A 51916-2025")</f>
        <v/>
      </c>
      <c r="Z68">
        <f>HYPERLINK("https://klasma.github.io/Logging_1861/klagomålsmail/A 51916-2025 FSC-klagomål mail.docx", "A 51916-2025")</f>
        <v/>
      </c>
      <c r="AA68">
        <f>HYPERLINK("https://klasma.github.io/Logging_1861/tillsyn/A 51916-2025 tillsynsbegäran.docx", "A 51916-2025")</f>
        <v/>
      </c>
      <c r="AB68">
        <f>HYPERLINK("https://klasma.github.io/Logging_1861/tillsynsmail/A 51916-2025 tillsynsbegäran mail.docx", "A 51916-2025")</f>
        <v/>
      </c>
    </row>
    <row r="69" ht="15" customHeight="1">
      <c r="A69" t="inlineStr">
        <is>
          <t>A 2694-2024</t>
        </is>
      </c>
      <c r="B69" t="inlineStr">
        <is>
          <t>avverkningsanmälan</t>
        </is>
      </c>
      <c r="C69" t="inlineStr">
        <is>
          <t>Föryngringsavverkning</t>
        </is>
      </c>
      <c r="D69" s="1" t="n">
        <v>45314</v>
      </c>
      <c r="E69" s="1" t="n">
        <v>46222</v>
      </c>
      <c r="F69" t="inlineStr">
        <is>
          <t>ÖREBRO LÄN</t>
        </is>
      </c>
      <c r="G69" t="inlineStr">
        <is>
          <t>HALLSBERG</t>
        </is>
      </c>
      <c r="I69" t="n">
        <v>1.6</v>
      </c>
      <c r="J69" t="n">
        <v>1</v>
      </c>
      <c r="K69" t="n">
        <v>0</v>
      </c>
      <c r="L69" t="n">
        <v>0</v>
      </c>
      <c r="M69" t="n">
        <v>0</v>
      </c>
      <c r="N69" t="n">
        <v>0</v>
      </c>
      <c r="O69" t="n">
        <v>0</v>
      </c>
      <c r="P69" t="n">
        <v>0</v>
      </c>
      <c r="Q69" t="n">
        <v>0</v>
      </c>
      <c r="R69" t="n">
        <v>0</v>
      </c>
      <c r="S69" t="n">
        <v>1</v>
      </c>
      <c r="T69" t="n">
        <v>4</v>
      </c>
      <c r="U69" s="2" t="inlineStr">
        <is>
          <t>Blåsippa</t>
        </is>
      </c>
      <c r="V69">
        <f>HYPERLINK("https://klasma.github.io/Logging_1861/artfynd/A 2694-2024 artfynd.xlsx", "A 2694-2024")</f>
        <v/>
      </c>
      <c r="W69">
        <f>HYPERLINK("https://klasma.github.io/Logging_1861/kartor/A 2694-2024 karta.png", "A 2694-2024")</f>
        <v/>
      </c>
      <c r="Y69">
        <f>HYPERLINK("https://klasma.github.io/Logging_1861/klagomål/A 2694-2024 FSC-klagomål.docx", "A 2694-2024")</f>
        <v/>
      </c>
      <c r="Z69">
        <f>HYPERLINK("https://klasma.github.io/Logging_1861/klagomålsmail/A 2694-2024 FSC-klagomål mail.docx", "A 2694-2024")</f>
        <v/>
      </c>
      <c r="AA69">
        <f>HYPERLINK("https://klasma.github.io/Logging_1861/tillsyn/A 2694-2024 tillsynsbegäran.docx", "A 2694-2024")</f>
        <v/>
      </c>
      <c r="AB69">
        <f>HYPERLINK("https://klasma.github.io/Logging_1861/tillsynsmail/A 2694-2024 tillsynsbegäran mail.docx", "A 2694-2024")</f>
        <v/>
      </c>
    </row>
    <row r="70" ht="15" customHeight="1">
      <c r="A70" t="inlineStr">
        <is>
          <t>A 29713-2026</t>
        </is>
      </c>
      <c r="B70" t="inlineStr">
        <is>
          <t>avverkningsanmälan</t>
        </is>
      </c>
      <c r="C70" t="inlineStr">
        <is>
          <t>Föryngringsavverkning</t>
        </is>
      </c>
      <c r="D70" s="1" t="n">
        <v>46204</v>
      </c>
      <c r="E70" s="1" t="n">
        <v>46222</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s="2" t="inlineStr">
        <is>
          <t>Fläcknycklar</t>
        </is>
      </c>
      <c r="V70">
        <f>HYPERLINK("https://klasma.github.io/Logging_1861/artfynd/A 29713-2026 artfynd.xlsx", "A 29713-2026")</f>
        <v/>
      </c>
      <c r="W70">
        <f>HYPERLINK("https://klasma.github.io/Logging_1861/kartor/A 29713-2026 karta.png", "A 29713-2026")</f>
        <v/>
      </c>
      <c r="Y70">
        <f>HYPERLINK("https://klasma.github.io/Logging_1861/klagomål/A 29713-2026 FSC-klagomål.docx", "A 29713-2026")</f>
        <v/>
      </c>
      <c r="Z70">
        <f>HYPERLINK("https://klasma.github.io/Logging_1861/klagomålsmail/A 29713-2026 FSC-klagomål mail.docx", "A 29713-2026")</f>
        <v/>
      </c>
      <c r="AA70">
        <f>HYPERLINK("https://klasma.github.io/Logging_1861/tillsyn/A 29713-2026 tillsynsbegäran.docx", "A 29713-2026")</f>
        <v/>
      </c>
      <c r="AB70">
        <f>HYPERLINK("https://klasma.github.io/Logging_1861/tillsynsmail/A 29713-2026 tillsynsbegäran mail.docx", "A 29713-2026")</f>
        <v/>
      </c>
    </row>
    <row r="71" ht="15" customHeight="1">
      <c r="A71" t="inlineStr">
        <is>
          <t>A 14456-2023</t>
        </is>
      </c>
      <c r="B71" t="inlineStr">
        <is>
          <t>avverkningsanmälan</t>
        </is>
      </c>
      <c r="C71" t="inlineStr">
        <is>
          <t>Föryngringsavverkning</t>
        </is>
      </c>
      <c r="D71" s="1" t="n">
        <v>45012</v>
      </c>
      <c r="E71" s="1" t="n">
        <v>46222</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s="2" t="inlineStr">
        <is>
          <t>Gullviva</t>
        </is>
      </c>
      <c r="V71">
        <f>HYPERLINK("https://klasma.github.io/Logging_1861/artfynd/A 14456-2023 artfynd.xlsx", "A 14456-2023")</f>
        <v/>
      </c>
      <c r="W71">
        <f>HYPERLINK("https://klasma.github.io/Logging_1861/kartor/A 14456-2023 karta.png", "A 14456-2023")</f>
        <v/>
      </c>
      <c r="Y71">
        <f>HYPERLINK("https://klasma.github.io/Logging_1861/klagomål/A 14456-2023 FSC-klagomål.docx", "A 14456-2023")</f>
        <v/>
      </c>
      <c r="Z71">
        <f>HYPERLINK("https://klasma.github.io/Logging_1861/klagomålsmail/A 14456-2023 FSC-klagomål mail.docx", "A 14456-2023")</f>
        <v/>
      </c>
      <c r="AA71">
        <f>HYPERLINK("https://klasma.github.io/Logging_1861/tillsyn/A 14456-2023 tillsynsbegäran.docx", "A 14456-2023")</f>
        <v/>
      </c>
      <c r="AB71">
        <f>HYPERLINK("https://klasma.github.io/Logging_1861/tillsynsmail/A 14456-2023 tillsynsbegäran mail.docx", "A 14456-2023")</f>
        <v/>
      </c>
    </row>
    <row r="72" ht="15" customHeight="1">
      <c r="A72" t="inlineStr">
        <is>
          <t>A 6876-2023</t>
        </is>
      </c>
      <c r="B72" t="inlineStr">
        <is>
          <t>avverkningsanmälan</t>
        </is>
      </c>
      <c r="C72" t="inlineStr">
        <is>
          <t>Föryngringsavverkning</t>
        </is>
      </c>
      <c r="D72" s="1" t="n">
        <v>44967</v>
      </c>
      <c r="E72" s="1" t="n">
        <v>46222</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s="2" t="inlineStr">
        <is>
          <t>Ask</t>
        </is>
      </c>
      <c r="V72">
        <f>HYPERLINK("https://klasma.github.io/Logging_1861/artfynd/A 6876-2023 artfynd.xlsx", "A 6876-2023")</f>
        <v/>
      </c>
      <c r="W72">
        <f>HYPERLINK("https://klasma.github.io/Logging_1861/kartor/A 6876-2023 karta.png", "A 6876-2023")</f>
        <v/>
      </c>
      <c r="Y72">
        <f>HYPERLINK("https://klasma.github.io/Logging_1861/klagomål/A 6876-2023 FSC-klagomål.docx", "A 6876-2023")</f>
        <v/>
      </c>
      <c r="Z72">
        <f>HYPERLINK("https://klasma.github.io/Logging_1861/klagomålsmail/A 6876-2023 FSC-klagomål mail.docx", "A 6876-2023")</f>
        <v/>
      </c>
      <c r="AA72">
        <f>HYPERLINK("https://klasma.github.io/Logging_1861/tillsyn/A 6876-2023 tillsynsbegäran.docx", "A 6876-2023")</f>
        <v/>
      </c>
      <c r="AB72">
        <f>HYPERLINK("https://klasma.github.io/Logging_1861/tillsynsmail/A 6876-2023 tillsynsbegäran mail.docx", "A 6876-2023")</f>
        <v/>
      </c>
    </row>
    <row r="73" ht="15" customHeight="1">
      <c r="A73" t="inlineStr">
        <is>
          <t>A 29785-2026</t>
        </is>
      </c>
      <c r="B73" t="inlineStr">
        <is>
          <t>avverkningsanmälan</t>
        </is>
      </c>
      <c r="C73" t="inlineStr">
        <is>
          <t>Avverkning för annat ändamål</t>
        </is>
      </c>
      <c r="D73" s="1" t="n">
        <v>46205</v>
      </c>
      <c r="E73" s="1" t="n">
        <v>46222</v>
      </c>
      <c r="F73" t="inlineStr">
        <is>
          <t>ÖREBRO LÄN</t>
        </is>
      </c>
      <c r="G73" t="inlineStr">
        <is>
          <t>HALLSBERG</t>
        </is>
      </c>
      <c r="H73" t="inlineStr">
        <is>
          <t>Övriga Aktiebolag</t>
        </is>
      </c>
      <c r="I73" t="n">
        <v>6.4</v>
      </c>
      <c r="J73" t="n">
        <v>0</v>
      </c>
      <c r="K73" t="n">
        <v>1</v>
      </c>
      <c r="L73" t="n">
        <v>0</v>
      </c>
      <c r="M73" t="n">
        <v>0</v>
      </c>
      <c r="N73" t="n">
        <v>0</v>
      </c>
      <c r="O73" t="n">
        <v>0</v>
      </c>
      <c r="P73" t="n">
        <v>0</v>
      </c>
      <c r="Q73" t="n">
        <v>0</v>
      </c>
      <c r="R73" t="n">
        <v>0</v>
      </c>
      <c r="S73" t="n">
        <v>1</v>
      </c>
      <c r="T73" t="n">
        <v>1</v>
      </c>
      <c r="U73" s="2" t="inlineStr">
        <is>
          <t>Rävticka</t>
        </is>
      </c>
      <c r="V73">
        <f>HYPERLINK("https://klasma.github.io/Logging_1861/artfynd/A 29785-2026 artfynd.xlsx", "A 29785-2026")</f>
        <v/>
      </c>
      <c r="W73">
        <f>HYPERLINK("https://klasma.github.io/Logging_1861/kartor/A 29785-2026 karta.png", "A 29785-2026")</f>
        <v/>
      </c>
      <c r="Y73">
        <f>HYPERLINK("https://klasma.github.io/Logging_1861/klagomål/A 29785-2026 FSC-klagomål.docx", "A 29785-2026")</f>
        <v/>
      </c>
      <c r="Z73">
        <f>HYPERLINK("https://klasma.github.io/Logging_1861/klagomålsmail/A 29785-2026 FSC-klagomål mail.docx", "A 29785-2026")</f>
        <v/>
      </c>
      <c r="AA73">
        <f>HYPERLINK("https://klasma.github.io/Logging_1861/tillsyn/A 29785-2026 tillsynsbegäran.docx", "A 29785-2026")</f>
        <v/>
      </c>
      <c r="AB73">
        <f>HYPERLINK("https://klasma.github.io/Logging_1861/tillsynsmail/A 29785-2026 tillsynsbegäran mail.docx", "A 29785-2026")</f>
        <v/>
      </c>
    </row>
    <row r="74" ht="15" customHeight="1">
      <c r="A74" t="inlineStr">
        <is>
          <t>A 51922-2025</t>
        </is>
      </c>
      <c r="B74" t="inlineStr">
        <is>
          <t>avverkningsanmälan</t>
        </is>
      </c>
      <c r="C74" t="inlineStr">
        <is>
          <t>Föryngringsavverkning</t>
        </is>
      </c>
      <c r="D74" s="1" t="n">
        <v>45952</v>
      </c>
      <c r="E74" s="1" t="n">
        <v>46222</v>
      </c>
      <c r="F74" t="inlineStr">
        <is>
          <t>ÖREBRO LÄN</t>
        </is>
      </c>
      <c r="G74" t="inlineStr">
        <is>
          <t>HALLSBERG</t>
        </is>
      </c>
      <c r="H74" t="inlineStr">
        <is>
          <t>Sveaskog</t>
        </is>
      </c>
      <c r="I74" t="n">
        <v>2.1</v>
      </c>
      <c r="J74" t="n">
        <v>0</v>
      </c>
      <c r="K74" t="n">
        <v>0</v>
      </c>
      <c r="L74" t="n">
        <v>1</v>
      </c>
      <c r="M74" t="n">
        <v>0</v>
      </c>
      <c r="N74" t="n">
        <v>0</v>
      </c>
      <c r="O74" t="n">
        <v>0</v>
      </c>
      <c r="P74" t="n">
        <v>0</v>
      </c>
      <c r="Q74" t="n">
        <v>1</v>
      </c>
      <c r="R74" t="n">
        <v>0</v>
      </c>
      <c r="S74" t="n">
        <v>1</v>
      </c>
      <c r="T74" t="n">
        <v>1</v>
      </c>
      <c r="U74" s="2" t="inlineStr">
        <is>
          <t>Grantaggsvamp</t>
        </is>
      </c>
      <c r="V74">
        <f>HYPERLINK("https://klasma.github.io/Logging_1861/artfynd/A 51922-2025 artfynd.xlsx", "A 51922-2025")</f>
        <v/>
      </c>
      <c r="W74">
        <f>HYPERLINK("https://klasma.github.io/Logging_1861/kartor/A 51922-2025 karta.png", "A 51922-2025")</f>
        <v/>
      </c>
      <c r="Y74">
        <f>HYPERLINK("https://klasma.github.io/Logging_1861/klagomål/A 51922-2025 FSC-klagomål.docx", "A 51922-2025")</f>
        <v/>
      </c>
      <c r="Z74">
        <f>HYPERLINK("https://klasma.github.io/Logging_1861/klagomålsmail/A 51922-2025 FSC-klagomål mail.docx", "A 51922-2025")</f>
        <v/>
      </c>
      <c r="AA74">
        <f>HYPERLINK("https://klasma.github.io/Logging_1861/tillsyn/A 51922-2025 tillsynsbegäran.docx", "A 51922-2025")</f>
        <v/>
      </c>
      <c r="AB74">
        <f>HYPERLINK("https://klasma.github.io/Logging_1861/tillsynsmail/A 51922-2025 tillsynsbegäran mail.docx", "A 51922-2025")</f>
        <v/>
      </c>
    </row>
    <row r="75" ht="15" customHeight="1">
      <c r="A75" t="inlineStr">
        <is>
          <t>A 14621-2024</t>
        </is>
      </c>
      <c r="B75" t="inlineStr">
        <is>
          <t>avverkningsanmälan</t>
        </is>
      </c>
      <c r="C75" t="inlineStr">
        <is>
          <t>Avverkning för att bevara och utveckla /försöksver</t>
        </is>
      </c>
      <c r="D75" s="1" t="n">
        <v>45397</v>
      </c>
      <c r="E75" s="1" t="n">
        <v>46222</v>
      </c>
      <c r="F75" t="inlineStr">
        <is>
          <t>ÖREBRO LÄN</t>
        </is>
      </c>
      <c r="G75" t="inlineStr">
        <is>
          <t>HALLSBERG</t>
        </is>
      </c>
      <c r="H75" t="inlineStr">
        <is>
          <t>Sveaskog</t>
        </is>
      </c>
      <c r="I75" t="n">
        <v>1.8</v>
      </c>
      <c r="J75" t="n">
        <v>1</v>
      </c>
      <c r="K75" t="n">
        <v>0</v>
      </c>
      <c r="L75" t="n">
        <v>0</v>
      </c>
      <c r="M75" t="n">
        <v>0</v>
      </c>
      <c r="N75" t="n">
        <v>0</v>
      </c>
      <c r="O75" t="n">
        <v>0</v>
      </c>
      <c r="P75" t="n">
        <v>0</v>
      </c>
      <c r="Q75" t="n">
        <v>0</v>
      </c>
      <c r="R75" t="n">
        <v>0</v>
      </c>
      <c r="S75" t="n">
        <v>1</v>
      </c>
      <c r="T75" t="n">
        <v>1</v>
      </c>
      <c r="U75" s="2" t="inlineStr">
        <is>
          <t>Utter</t>
        </is>
      </c>
      <c r="V75">
        <f>HYPERLINK("https://klasma.github.io/Logging_1861/artfynd/A 14621-2024 artfynd.xlsx", "A 14621-2024")</f>
        <v/>
      </c>
      <c r="W75">
        <f>HYPERLINK("https://klasma.github.io/Logging_1861/kartor/A 14621-2024 karta.png", "A 14621-2024")</f>
        <v/>
      </c>
      <c r="Y75">
        <f>HYPERLINK("https://klasma.github.io/Logging_1861/klagomål/A 14621-2024 FSC-klagomål.docx", "A 14621-2024")</f>
        <v/>
      </c>
      <c r="Z75">
        <f>HYPERLINK("https://klasma.github.io/Logging_1861/klagomålsmail/A 14621-2024 FSC-klagomål mail.docx", "A 14621-2024")</f>
        <v/>
      </c>
      <c r="AA75">
        <f>HYPERLINK("https://klasma.github.io/Logging_1861/tillsyn/A 14621-2024 tillsynsbegäran.docx", "A 14621-2024")</f>
        <v/>
      </c>
      <c r="AB75">
        <f>HYPERLINK("https://klasma.github.io/Logging_1861/tillsynsmail/A 14621-2024 tillsynsbegäran mail.docx", "A 14621-2024")</f>
        <v/>
      </c>
    </row>
    <row r="76" ht="15" customHeight="1">
      <c r="A76" t="inlineStr">
        <is>
          <t>A 46325-2024</t>
        </is>
      </c>
      <c r="B76" t="inlineStr">
        <is>
          <t>avverkningsanmälan</t>
        </is>
      </c>
      <c r="C76" t="inlineStr">
        <is>
          <t>Föryngringsavverkning</t>
        </is>
      </c>
      <c r="D76" s="1" t="n">
        <v>45581</v>
      </c>
      <c r="E76" s="1" t="n">
        <v>46222</v>
      </c>
      <c r="F76" t="inlineStr">
        <is>
          <t>ÖREBRO LÄN</t>
        </is>
      </c>
      <c r="G76" t="inlineStr">
        <is>
          <t>HALLSBERG</t>
        </is>
      </c>
      <c r="H76" t="inlineStr">
        <is>
          <t>Övriga Aktiebolag</t>
        </is>
      </c>
      <c r="I76" t="n">
        <v>1.9</v>
      </c>
      <c r="J76" t="n">
        <v>1</v>
      </c>
      <c r="K76" t="n">
        <v>0</v>
      </c>
      <c r="L76" t="n">
        <v>0</v>
      </c>
      <c r="M76" t="n">
        <v>0</v>
      </c>
      <c r="N76" t="n">
        <v>0</v>
      </c>
      <c r="O76" t="n">
        <v>0</v>
      </c>
      <c r="P76" t="n">
        <v>0</v>
      </c>
      <c r="Q76" t="n">
        <v>0</v>
      </c>
      <c r="R76" t="n">
        <v>0</v>
      </c>
      <c r="S76" t="n">
        <v>1</v>
      </c>
      <c r="T76" t="n">
        <v>1</v>
      </c>
      <c r="U76" s="2" t="inlineStr">
        <is>
          <t>Grönvit nattviol</t>
        </is>
      </c>
      <c r="V76">
        <f>HYPERLINK("https://klasma.github.io/Logging_1861/artfynd/A 46325-2024 artfynd.xlsx", "A 46325-2024")</f>
        <v/>
      </c>
      <c r="W76">
        <f>HYPERLINK("https://klasma.github.io/Logging_1861/kartor/A 46325-2024 karta.png", "A 46325-2024")</f>
        <v/>
      </c>
      <c r="Y76">
        <f>HYPERLINK("https://klasma.github.io/Logging_1861/klagomål/A 46325-2024 FSC-klagomål.docx", "A 46325-2024")</f>
        <v/>
      </c>
      <c r="Z76">
        <f>HYPERLINK("https://klasma.github.io/Logging_1861/klagomålsmail/A 46325-2024 FSC-klagomål mail.docx", "A 46325-2024")</f>
        <v/>
      </c>
      <c r="AA76">
        <f>HYPERLINK("https://klasma.github.io/Logging_1861/tillsyn/A 46325-2024 tillsynsbegäran.docx", "A 46325-2024")</f>
        <v/>
      </c>
      <c r="AB76">
        <f>HYPERLINK("https://klasma.github.io/Logging_1861/tillsynsmail/A 46325-2024 tillsynsbegäran mail.docx", "A 46325-2024")</f>
        <v/>
      </c>
    </row>
    <row r="77" ht="15" customHeight="1">
      <c r="A77" t="inlineStr">
        <is>
          <t>A 45862-2023</t>
        </is>
      </c>
      <c r="B77" t="inlineStr">
        <is>
          <t>avverkningsanmälan</t>
        </is>
      </c>
      <c r="C77" t="inlineStr">
        <is>
          <t>Föryngringsavverkning</t>
        </is>
      </c>
      <c r="D77" s="1" t="n">
        <v>45195</v>
      </c>
      <c r="E77" s="1" t="n">
        <v>46222</v>
      </c>
      <c r="F77" t="inlineStr">
        <is>
          <t>ÖREBRO LÄN</t>
        </is>
      </c>
      <c r="G77" t="inlineStr">
        <is>
          <t>HALLSBERG</t>
        </is>
      </c>
      <c r="H77" t="inlineStr">
        <is>
          <t>Allmännings- och besparingsskogar</t>
        </is>
      </c>
      <c r="I77" t="n">
        <v>7.8</v>
      </c>
      <c r="J77" t="n">
        <v>0</v>
      </c>
      <c r="K77" t="n">
        <v>0</v>
      </c>
      <c r="L77" t="n">
        <v>1</v>
      </c>
      <c r="M77" t="n">
        <v>0</v>
      </c>
      <c r="N77" t="n">
        <v>0</v>
      </c>
      <c r="O77" t="n">
        <v>0</v>
      </c>
      <c r="P77" t="n">
        <v>0</v>
      </c>
      <c r="Q77" t="n">
        <v>1</v>
      </c>
      <c r="R77" t="n">
        <v>0</v>
      </c>
      <c r="S77" t="n">
        <v>1</v>
      </c>
      <c r="T77" t="n">
        <v>1</v>
      </c>
      <c r="U77" s="2" t="inlineStr">
        <is>
          <t>Dropptaggsvamp</t>
        </is>
      </c>
      <c r="V77">
        <f>HYPERLINK("https://klasma.github.io/Logging_1861/artfynd/A 45862-2023 artfynd.xlsx", "A 45862-2023")</f>
        <v/>
      </c>
      <c r="W77">
        <f>HYPERLINK("https://klasma.github.io/Logging_1861/kartor/A 45862-2023 karta.png", "A 45862-2023")</f>
        <v/>
      </c>
      <c r="Y77">
        <f>HYPERLINK("https://klasma.github.io/Logging_1861/klagomål/A 45862-2023 FSC-klagomål.docx", "A 45862-2023")</f>
        <v/>
      </c>
      <c r="Z77">
        <f>HYPERLINK("https://klasma.github.io/Logging_1861/klagomålsmail/A 45862-2023 FSC-klagomål mail.docx", "A 45862-2023")</f>
        <v/>
      </c>
      <c r="AA77">
        <f>HYPERLINK("https://klasma.github.io/Logging_1861/tillsyn/A 45862-2023 tillsynsbegäran.docx", "A 45862-2023")</f>
        <v/>
      </c>
      <c r="AB77">
        <f>HYPERLINK("https://klasma.github.io/Logging_1861/tillsynsmail/A 45862-2023 tillsynsbegäran mail.docx", "A 45862-2023")</f>
        <v/>
      </c>
    </row>
    <row r="78" ht="15" customHeight="1">
      <c r="A78" t="inlineStr">
        <is>
          <t>A 1195-2023</t>
        </is>
      </c>
      <c r="B78" t="inlineStr">
        <is>
          <t>avverkningsanmälan</t>
        </is>
      </c>
      <c r="C78" t="inlineStr">
        <is>
          <t>Föryngringsavverkning</t>
        </is>
      </c>
      <c r="D78" s="1" t="n">
        <v>44935</v>
      </c>
      <c r="E78" s="1" t="n">
        <v>46222</v>
      </c>
      <c r="F78" t="inlineStr">
        <is>
          <t>ÖREBRO LÄN</t>
        </is>
      </c>
      <c r="G78" t="inlineStr">
        <is>
          <t>HALLSBERG</t>
        </is>
      </c>
      <c r="I78" t="n">
        <v>11.2</v>
      </c>
      <c r="J78" t="n">
        <v>0</v>
      </c>
      <c r="K78" t="n">
        <v>1</v>
      </c>
      <c r="L78" t="n">
        <v>0</v>
      </c>
      <c r="M78" t="n">
        <v>0</v>
      </c>
      <c r="N78" t="n">
        <v>0</v>
      </c>
      <c r="O78" t="n">
        <v>0</v>
      </c>
      <c r="P78" t="n">
        <v>0</v>
      </c>
      <c r="Q78" t="n">
        <v>0</v>
      </c>
      <c r="R78" t="n">
        <v>0</v>
      </c>
      <c r="S78" t="n">
        <v>1</v>
      </c>
      <c r="T78" t="n">
        <v>1</v>
      </c>
      <c r="U78" s="2" t="inlineStr">
        <is>
          <t>Hasselticka</t>
        </is>
      </c>
      <c r="V78">
        <f>HYPERLINK("https://klasma.github.io/Logging_1861/artfynd/A 1195-2023 artfynd.xlsx", "A 1195-2023")</f>
        <v/>
      </c>
      <c r="W78">
        <f>HYPERLINK("https://klasma.github.io/Logging_1861/kartor/A 1195-2023 karta.png", "A 1195-2023")</f>
        <v/>
      </c>
      <c r="Y78">
        <f>HYPERLINK("https://klasma.github.io/Logging_1861/klagomål/A 1195-2023 FSC-klagomål.docx", "A 1195-2023")</f>
        <v/>
      </c>
      <c r="Z78">
        <f>HYPERLINK("https://klasma.github.io/Logging_1861/klagomålsmail/A 1195-2023 FSC-klagomål mail.docx", "A 1195-2023")</f>
        <v/>
      </c>
      <c r="AA78">
        <f>HYPERLINK("https://klasma.github.io/Logging_1861/tillsyn/A 1195-2023 tillsynsbegäran.docx", "A 1195-2023")</f>
        <v/>
      </c>
      <c r="AB78">
        <f>HYPERLINK("https://klasma.github.io/Logging_1861/tillsynsmail/A 1195-2023 tillsynsbegäran mail.docx", "A 1195-2023")</f>
        <v/>
      </c>
    </row>
    <row r="79" ht="15" customHeight="1">
      <c r="A79" t="inlineStr">
        <is>
          <t>A 20981-2024</t>
        </is>
      </c>
      <c r="B79" t="inlineStr">
        <is>
          <t>avverkningsanmälan</t>
        </is>
      </c>
      <c r="C79" t="inlineStr">
        <is>
          <t>Avverkning för att bevara och utveckla /försöksver</t>
        </is>
      </c>
      <c r="D79" s="1" t="n">
        <v>45439</v>
      </c>
      <c r="E79" s="1" t="n">
        <v>46222</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s="2" t="inlineStr">
        <is>
          <t>Gullviva</t>
        </is>
      </c>
      <c r="V79">
        <f>HYPERLINK("https://klasma.github.io/Logging_1861/artfynd/A 20981-2024 artfynd.xlsx", "A 20981-2024")</f>
        <v/>
      </c>
      <c r="W79">
        <f>HYPERLINK("https://klasma.github.io/Logging_1861/kartor/A 20981-2024 karta.png", "A 20981-2024")</f>
        <v/>
      </c>
      <c r="Y79">
        <f>HYPERLINK("https://klasma.github.io/Logging_1861/klagomål/A 20981-2024 FSC-klagomål.docx", "A 20981-2024")</f>
        <v/>
      </c>
      <c r="Z79">
        <f>HYPERLINK("https://klasma.github.io/Logging_1861/klagomålsmail/A 20981-2024 FSC-klagomål mail.docx", "A 20981-2024")</f>
        <v/>
      </c>
      <c r="AA79">
        <f>HYPERLINK("https://klasma.github.io/Logging_1861/tillsyn/A 20981-2024 tillsynsbegäran.docx", "A 20981-2024")</f>
        <v/>
      </c>
      <c r="AB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46222</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s="2" t="inlineStr">
        <is>
          <t>Tjäder</t>
        </is>
      </c>
      <c r="V80">
        <f>HYPERLINK("https://klasma.github.io/Logging_1861/artfynd/A 25471-2025 artfynd.xlsx", "A 25471-2025")</f>
        <v/>
      </c>
      <c r="W80">
        <f>HYPERLINK("https://klasma.github.io/Logging_1861/kartor/A 25471-2025 karta.png", "A 25471-2025")</f>
        <v/>
      </c>
      <c r="Y80">
        <f>HYPERLINK("https://klasma.github.io/Logging_1861/klagomål/A 25471-2025 FSC-klagomål.docx", "A 25471-2025")</f>
        <v/>
      </c>
      <c r="Z80">
        <f>HYPERLINK("https://klasma.github.io/Logging_1861/klagomålsmail/A 25471-2025 FSC-klagomål mail.docx", "A 25471-2025")</f>
        <v/>
      </c>
      <c r="AA80">
        <f>HYPERLINK("https://klasma.github.io/Logging_1861/tillsyn/A 25471-2025 tillsynsbegäran.docx", "A 25471-2025")</f>
        <v/>
      </c>
      <c r="AB80">
        <f>HYPERLINK("https://klasma.github.io/Logging_1861/tillsynsmail/A 25471-2025 tillsynsbegäran mail.docx", "A 25471-2025")</f>
        <v/>
      </c>
      <c r="AC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46222</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s="2" t="inlineStr">
        <is>
          <t>Större vattensalamander</t>
        </is>
      </c>
      <c r="V81">
        <f>HYPERLINK("https://klasma.github.io/Logging_1861/artfynd/S 3020-2022 artfynd.xlsx", "S 3020-2022")</f>
        <v/>
      </c>
      <c r="W81">
        <f>HYPERLINK("https://klasma.github.io/Logging_1861/kartor/S 3020-2022 karta.png", "S 3020-2022")</f>
        <v/>
      </c>
      <c r="Y81">
        <f>HYPERLINK("https://klasma.github.io/Logging_1861/klagomål/S 3020-2022 FSC-klagomål.docx", "S 3020-2022")</f>
        <v/>
      </c>
      <c r="Z81">
        <f>HYPERLINK("https://klasma.github.io/Logging_1861/klagomålsmail/S 3020-2022 FSC-klagomål mail.docx", "S 3020-2022")</f>
        <v/>
      </c>
      <c r="AA81">
        <f>HYPERLINK("https://klasma.github.io/Logging_1861/tillsyn/S 3020-2022 tillsynsbegäran.docx", "S 3020-2022")</f>
        <v/>
      </c>
      <c r="AB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46222</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s="2" t="inlineStr">
        <is>
          <t>Fläcknycklar</t>
        </is>
      </c>
      <c r="V82">
        <f>HYPERLINK("https://klasma.github.io/Logging_1861/artfynd/S 1792-2022 artfynd.xlsx", "S 1792-2022")</f>
        <v/>
      </c>
      <c r="W82">
        <f>HYPERLINK("https://klasma.github.io/Logging_1861/kartor/S 1792-2022 karta.png", "S 1792-2022")</f>
        <v/>
      </c>
      <c r="Y82">
        <f>HYPERLINK("https://klasma.github.io/Logging_1861/klagomål/S 1792-2022 FSC-klagomål.docx", "S 1792-2022")</f>
        <v/>
      </c>
      <c r="Z82">
        <f>HYPERLINK("https://klasma.github.io/Logging_1861/klagomålsmail/S 1792-2022 FSC-klagomål mail.docx", "S 1792-2022")</f>
        <v/>
      </c>
      <c r="AA82">
        <f>HYPERLINK("https://klasma.github.io/Logging_1861/tillsyn/S 1792-2022 tillsynsbegäran.docx", "S 1792-2022")</f>
        <v/>
      </c>
      <c r="AB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46222</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s="2" t="inlineStr">
        <is>
          <t>Vedtrappmossa</t>
        </is>
      </c>
      <c r="V83">
        <f>HYPERLINK("https://klasma.github.io/Logging_1861/artfynd/S 1551-2026 artfynd.xlsx", "S 1551-2026")</f>
        <v/>
      </c>
      <c r="W83">
        <f>HYPERLINK("https://klasma.github.io/Logging_1861/kartor/S 1551-2026 karta.png", "S 1551-2026")</f>
        <v/>
      </c>
      <c r="Y83">
        <f>HYPERLINK("https://klasma.github.io/Logging_1861/klagomål/S 1551-2026 FSC-klagomål.docx", "S 1551-2026")</f>
        <v/>
      </c>
      <c r="Z83">
        <f>HYPERLINK("https://klasma.github.io/Logging_1861/klagomålsmail/S 1551-2026 FSC-klagomål mail.docx", "S 1551-2026")</f>
        <v/>
      </c>
      <c r="AA83">
        <f>HYPERLINK("https://klasma.github.io/Logging_1861/tillsyn/S 1551-2026 tillsynsbegäran.docx", "S 1551-2026")</f>
        <v/>
      </c>
      <c r="AB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46222</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s="2" t="inlineStr"/>
    </row>
    <row r="85" ht="15" customHeight="1">
      <c r="A85" t="inlineStr">
        <is>
          <t>A 58462-2021</t>
        </is>
      </c>
      <c r="B85" t="inlineStr">
        <is>
          <t>avverkningsanmälan</t>
        </is>
      </c>
      <c r="C85" t="inlineStr">
        <is>
          <t>Föryngringsavverkning</t>
        </is>
      </c>
      <c r="D85" s="1" t="n">
        <v>44488</v>
      </c>
      <c r="E85" s="1" t="n">
        <v>46222</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s="2" t="inlineStr"/>
    </row>
    <row r="86" ht="15" customHeight="1">
      <c r="A86" t="inlineStr">
        <is>
          <t>A 3366-2022</t>
        </is>
      </c>
      <c r="B86" t="inlineStr">
        <is>
          <t>avverkningsanmälan</t>
        </is>
      </c>
      <c r="C86" t="inlineStr">
        <is>
          <t>Föryngringsavverkning</t>
        </is>
      </c>
      <c r="D86" s="1" t="n">
        <v>44585</v>
      </c>
      <c r="E86" s="1" t="n">
        <v>46222</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s="2" t="inlineStr"/>
    </row>
    <row r="87" ht="15" customHeight="1">
      <c r="A87" t="inlineStr">
        <is>
          <t>A 44227-2021</t>
        </is>
      </c>
      <c r="B87" t="inlineStr">
        <is>
          <t>avverkningsanmälan</t>
        </is>
      </c>
      <c r="C87" t="inlineStr">
        <is>
          <t>Föryngringsavverkning</t>
        </is>
      </c>
      <c r="D87" s="1" t="n">
        <v>44434</v>
      </c>
      <c r="E87" s="1" t="n">
        <v>46222</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s="2" t="inlineStr"/>
    </row>
    <row r="88" ht="15" customHeight="1">
      <c r="A88" t="inlineStr">
        <is>
          <t>A 32512-2022</t>
        </is>
      </c>
      <c r="B88" t="inlineStr">
        <is>
          <t>avverkningsanmälan</t>
        </is>
      </c>
      <c r="C88" t="inlineStr">
        <is>
          <t>Föryngringsavverkning</t>
        </is>
      </c>
      <c r="D88" s="1" t="n">
        <v>44782</v>
      </c>
      <c r="E88" s="1" t="n">
        <v>46222</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s="2" t="inlineStr"/>
    </row>
    <row r="89" ht="15" customHeight="1">
      <c r="A89" t="inlineStr">
        <is>
          <t>A 39450-2021</t>
        </is>
      </c>
      <c r="B89" t="inlineStr">
        <is>
          <t>avverkningsanmälan</t>
        </is>
      </c>
      <c r="C89" t="inlineStr">
        <is>
          <t>Föryngringsavverkning</t>
        </is>
      </c>
      <c r="D89" s="1" t="n">
        <v>44414</v>
      </c>
      <c r="E89" s="1" t="n">
        <v>46222</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s="2" t="inlineStr"/>
    </row>
    <row r="90" ht="15" customHeight="1">
      <c r="A90" t="inlineStr">
        <is>
          <t>A 13660-2022</t>
        </is>
      </c>
      <c r="B90" t="inlineStr">
        <is>
          <t>avverkningsanmälan</t>
        </is>
      </c>
      <c r="C90" t="inlineStr">
        <is>
          <t>Föryngringsavverkning</t>
        </is>
      </c>
      <c r="D90" s="1" t="n">
        <v>44648</v>
      </c>
      <c r="E90" s="1" t="n">
        <v>46222</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s="2" t="inlineStr"/>
    </row>
    <row r="91" ht="15" customHeight="1">
      <c r="A91" t="inlineStr">
        <is>
          <t>A 13120-2022</t>
        </is>
      </c>
      <c r="B91" t="inlineStr">
        <is>
          <t>avverkningsanmälan</t>
        </is>
      </c>
      <c r="C91" t="inlineStr">
        <is>
          <t>Föryngringsavverkning</t>
        </is>
      </c>
      <c r="D91" s="1" t="n">
        <v>44643</v>
      </c>
      <c r="E91" s="1" t="n">
        <v>46222</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s="2" t="inlineStr"/>
    </row>
    <row r="92" ht="15" customHeight="1">
      <c r="A92" t="inlineStr">
        <is>
          <t>A 39466-2021</t>
        </is>
      </c>
      <c r="B92" t="inlineStr">
        <is>
          <t>avverkningsanmälan</t>
        </is>
      </c>
      <c r="C92" t="inlineStr">
        <is>
          <t>Föryngringsavverkning</t>
        </is>
      </c>
      <c r="D92" s="1" t="n">
        <v>44414</v>
      </c>
      <c r="E92" s="1" t="n">
        <v>46222</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s="2" t="inlineStr"/>
    </row>
    <row r="93" ht="15" customHeight="1">
      <c r="A93" t="inlineStr">
        <is>
          <t>A 39725-2022</t>
        </is>
      </c>
      <c r="B93" t="inlineStr">
        <is>
          <t>avverkningsanmälan</t>
        </is>
      </c>
      <c r="C93" t="inlineStr">
        <is>
          <t>Föryngringsavverkning</t>
        </is>
      </c>
      <c r="D93" s="1" t="n">
        <v>44816</v>
      </c>
      <c r="E93" s="1" t="n">
        <v>46222</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s="2" t="inlineStr"/>
    </row>
    <row r="94" ht="15" customHeight="1">
      <c r="A94" t="inlineStr">
        <is>
          <t>A 49645-2022</t>
        </is>
      </c>
      <c r="B94" t="inlineStr">
        <is>
          <t>avverkningsanmälan</t>
        </is>
      </c>
      <c r="C94" t="inlineStr">
        <is>
          <t>Föryngringsavverkning</t>
        </is>
      </c>
      <c r="D94" s="1" t="n">
        <v>44862</v>
      </c>
      <c r="E94" s="1" t="n">
        <v>46222</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s="2" t="inlineStr"/>
    </row>
    <row r="95" ht="15" customHeight="1">
      <c r="A95" t="inlineStr">
        <is>
          <t>A 15086-2022</t>
        </is>
      </c>
      <c r="B95" t="inlineStr">
        <is>
          <t>avverkningsanmälan</t>
        </is>
      </c>
      <c r="C95" t="inlineStr">
        <is>
          <t>Föryngringsavverkning</t>
        </is>
      </c>
      <c r="D95" s="1" t="n">
        <v>44657</v>
      </c>
      <c r="E95" s="1" t="n">
        <v>46222</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s="2" t="inlineStr"/>
    </row>
    <row r="96" ht="15" customHeight="1">
      <c r="A96" t="inlineStr">
        <is>
          <t>A 23330-2022</t>
        </is>
      </c>
      <c r="B96" t="inlineStr">
        <is>
          <t>avverkningsanmälan</t>
        </is>
      </c>
      <c r="C96" t="inlineStr">
        <is>
          <t>Föryngringsavverkning</t>
        </is>
      </c>
      <c r="D96" s="1" t="n">
        <v>44720</v>
      </c>
      <c r="E96" s="1" t="n">
        <v>46222</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s="2" t="inlineStr"/>
    </row>
    <row r="97" ht="15" customHeight="1">
      <c r="A97" t="inlineStr">
        <is>
          <t>A 14345-2022</t>
        </is>
      </c>
      <c r="B97" t="inlineStr">
        <is>
          <t>avverkningsanmälan</t>
        </is>
      </c>
      <c r="C97" t="inlineStr">
        <is>
          <t>Föryngringsavverkning</t>
        </is>
      </c>
      <c r="D97" s="1" t="n">
        <v>44651</v>
      </c>
      <c r="E97" s="1" t="n">
        <v>46222</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s="2" t="inlineStr"/>
    </row>
    <row r="98" ht="15" customHeight="1">
      <c r="A98" t="inlineStr">
        <is>
          <t>A 30145-2022</t>
        </is>
      </c>
      <c r="B98" t="inlineStr">
        <is>
          <t>avverkningsanmälan</t>
        </is>
      </c>
      <c r="C98" t="inlineStr">
        <is>
          <t>Avverkning för att bevara och utveckla /försöksver</t>
        </is>
      </c>
      <c r="D98" s="1" t="n">
        <v>44757</v>
      </c>
      <c r="E98" s="1" t="n">
        <v>46222</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44216-2022</t>
        </is>
      </c>
      <c r="B99" t="inlineStr">
        <is>
          <t>avverkningsanmälan</t>
        </is>
      </c>
      <c r="C99" t="inlineStr">
        <is>
          <t>Föryngringsavverkning</t>
        </is>
      </c>
      <c r="D99" s="1" t="n">
        <v>44839</v>
      </c>
      <c r="E99" s="1" t="n">
        <v>46222</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s="2" t="inlineStr"/>
    </row>
    <row r="100" ht="15" customHeight="1">
      <c r="A100" t="inlineStr">
        <is>
          <t>A 44228-2021</t>
        </is>
      </c>
      <c r="B100" t="inlineStr">
        <is>
          <t>avverkningsanmälan</t>
        </is>
      </c>
      <c r="C100" t="inlineStr">
        <is>
          <t>Föryngringsavverkning</t>
        </is>
      </c>
      <c r="D100" s="1" t="n">
        <v>44434</v>
      </c>
      <c r="E100" s="1" t="n">
        <v>46222</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30144-2022</t>
        </is>
      </c>
      <c r="B101" t="inlineStr">
        <is>
          <t>avverkningsanmälan</t>
        </is>
      </c>
      <c r="C101" t="inlineStr">
        <is>
          <t>Avverkning för att bevara och utveckla /försöksver</t>
        </is>
      </c>
      <c r="D101" s="1" t="n">
        <v>44757</v>
      </c>
      <c r="E101" s="1" t="n">
        <v>46222</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40607-2021</t>
        </is>
      </c>
      <c r="B102" t="inlineStr">
        <is>
          <t>avverkningsanmälan</t>
        </is>
      </c>
      <c r="C102" t="inlineStr">
        <is>
          <t>Föryngringsavverkning</t>
        </is>
      </c>
      <c r="D102" s="1" t="n">
        <v>44420</v>
      </c>
      <c r="E102" s="1" t="n">
        <v>46222</v>
      </c>
      <c r="F102" t="inlineStr">
        <is>
          <t>ÖREBRO LÄN</t>
        </is>
      </c>
      <c r="G102" t="inlineStr">
        <is>
          <t>HALLSBERG</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13468-2024</t>
        </is>
      </c>
      <c r="B103" t="inlineStr">
        <is>
          <t>avverkningsanmälan</t>
        </is>
      </c>
      <c r="C103" t="inlineStr">
        <is>
          <t>Föryngringsavverkning</t>
        </is>
      </c>
      <c r="D103" s="1" t="n">
        <v>45387</v>
      </c>
      <c r="E103" s="1" t="n">
        <v>46222</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51350-2023</t>
        </is>
      </c>
      <c r="B104" t="inlineStr">
        <is>
          <t>avverkningsanmälan</t>
        </is>
      </c>
      <c r="C104" t="inlineStr">
        <is>
          <t>Föryngringsavverkning</t>
        </is>
      </c>
      <c r="D104" s="1" t="n">
        <v>45213</v>
      </c>
      <c r="E104" s="1" t="n">
        <v>46222</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45852-2023</t>
        </is>
      </c>
      <c r="B105" t="inlineStr">
        <is>
          <t>avverkningsanmälan</t>
        </is>
      </c>
      <c r="C105" t="inlineStr">
        <is>
          <t>Föryngringsavverkning</t>
        </is>
      </c>
      <c r="D105" s="1" t="n">
        <v>45195</v>
      </c>
      <c r="E105" s="1" t="n">
        <v>46222</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s="2" t="inlineStr"/>
    </row>
    <row r="106" ht="15" customHeight="1">
      <c r="A106" t="inlineStr">
        <is>
          <t>A 3799-2024</t>
        </is>
      </c>
      <c r="B106" t="inlineStr">
        <is>
          <t>avverkningsanmälan</t>
        </is>
      </c>
      <c r="C106" t="inlineStr">
        <is>
          <t>Föryngringsavverkning</t>
        </is>
      </c>
      <c r="D106" s="1" t="n">
        <v>45321</v>
      </c>
      <c r="E106" s="1" t="n">
        <v>46222</v>
      </c>
      <c r="F106" t="inlineStr">
        <is>
          <t>ÖREBRO LÄN</t>
        </is>
      </c>
      <c r="G106" t="inlineStr">
        <is>
          <t>HALLSBERG</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7191-2025</t>
        </is>
      </c>
      <c r="B107" t="inlineStr">
        <is>
          <t>avverkningsanmälan</t>
        </is>
      </c>
      <c r="C107" t="inlineStr">
        <is>
          <t>Föryngringsavverkning</t>
        </is>
      </c>
      <c r="D107" s="1" t="n">
        <v>45702</v>
      </c>
      <c r="E107" s="1" t="n">
        <v>46222</v>
      </c>
      <c r="F107" t="inlineStr">
        <is>
          <t>ÖREBRO LÄN</t>
        </is>
      </c>
      <c r="G107" t="inlineStr">
        <is>
          <t>HALLSBERG</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25805-2024</t>
        </is>
      </c>
      <c r="B108" t="inlineStr">
        <is>
          <t>avverkningsanmälan</t>
        </is>
      </c>
      <c r="C108" t="inlineStr">
        <is>
          <t>Föryngringsavverkning</t>
        </is>
      </c>
      <c r="D108" s="1" t="n">
        <v>45467</v>
      </c>
      <c r="E108" s="1" t="n">
        <v>46222</v>
      </c>
      <c r="F108" t="inlineStr">
        <is>
          <t>ÖREBRO LÄN</t>
        </is>
      </c>
      <c r="G108" t="inlineStr">
        <is>
          <t>HALLSBERG</t>
        </is>
      </c>
      <c r="H108" t="inlineStr">
        <is>
          <t>Allmännings- och besparingsskogar</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55851-2023</t>
        </is>
      </c>
      <c r="B109" t="inlineStr">
        <is>
          <t>avverkningsanmälan</t>
        </is>
      </c>
      <c r="C109" t="inlineStr">
        <is>
          <t>Föryngringsavverkning</t>
        </is>
      </c>
      <c r="D109" s="1" t="n">
        <v>45239</v>
      </c>
      <c r="E109" s="1" t="n">
        <v>46222</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53329-2023</t>
        </is>
      </c>
      <c r="B110" t="inlineStr">
        <is>
          <t>avverkningsanmälan</t>
        </is>
      </c>
      <c r="C110" t="inlineStr">
        <is>
          <t>Föryngringsavverkning</t>
        </is>
      </c>
      <c r="D110" s="1" t="n">
        <v>45229</v>
      </c>
      <c r="E110" s="1" t="n">
        <v>46222</v>
      </c>
      <c r="F110" t="inlineStr">
        <is>
          <t>ÖREBRO LÄN</t>
        </is>
      </c>
      <c r="G110" t="inlineStr">
        <is>
          <t>HALLSBERG</t>
        </is>
      </c>
      <c r="I110" t="n">
        <v>5.1</v>
      </c>
      <c r="J110" t="n">
        <v>0</v>
      </c>
      <c r="K110" t="n">
        <v>0</v>
      </c>
      <c r="L110" t="n">
        <v>0</v>
      </c>
      <c r="M110" t="n">
        <v>0</v>
      </c>
      <c r="N110" t="n">
        <v>0</v>
      </c>
      <c r="O110" t="n">
        <v>0</v>
      </c>
      <c r="P110" t="n">
        <v>0</v>
      </c>
      <c r="Q110" t="n">
        <v>0</v>
      </c>
      <c r="R110" t="n">
        <v>0</v>
      </c>
      <c r="S110" t="n">
        <v>0</v>
      </c>
      <c r="T110" t="n">
        <v>0</v>
      </c>
      <c r="U110" s="2" t="inlineStr"/>
    </row>
    <row r="111" ht="15" customHeight="1">
      <c r="A111" t="inlineStr">
        <is>
          <t>A 28540-2024</t>
        </is>
      </c>
      <c r="B111" t="inlineStr">
        <is>
          <t>avverkningsanmälan</t>
        </is>
      </c>
      <c r="C111" t="inlineStr">
        <is>
          <t>Avverkning för att bevara och utveckla /försöksver</t>
        </is>
      </c>
      <c r="D111" s="1" t="n">
        <v>45478</v>
      </c>
      <c r="E111" s="1" t="n">
        <v>46222</v>
      </c>
      <c r="F111" t="inlineStr">
        <is>
          <t>ÖREBRO LÄN</t>
        </is>
      </c>
      <c r="G111" t="inlineStr">
        <is>
          <t>HALLSBERG</t>
        </is>
      </c>
      <c r="H111" t="inlineStr">
        <is>
          <t>Sveaskog</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42156-2024</t>
        </is>
      </c>
      <c r="B112" t="inlineStr">
        <is>
          <t>avverkningsanmälan</t>
        </is>
      </c>
      <c r="C112" t="inlineStr">
        <is>
          <t>Föryngringsavverkning</t>
        </is>
      </c>
      <c r="D112" s="1" t="n">
        <v>45562</v>
      </c>
      <c r="E112" s="1" t="n">
        <v>46222</v>
      </c>
      <c r="F112" t="inlineStr">
        <is>
          <t>ÖREBRO LÄN</t>
        </is>
      </c>
      <c r="G112" t="inlineStr">
        <is>
          <t>HALLSBERG</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60081-2023</t>
        </is>
      </c>
      <c r="B113" t="inlineStr">
        <is>
          <t>avverkningsanmälan</t>
        </is>
      </c>
      <c r="C113" t="inlineStr">
        <is>
          <t>Avverkning för att bevara och utveckla /försöksver</t>
        </is>
      </c>
      <c r="D113" s="1" t="n">
        <v>45258</v>
      </c>
      <c r="E113" s="1" t="n">
        <v>46222</v>
      </c>
      <c r="F113" t="inlineStr">
        <is>
          <t>ÖREBRO LÄN</t>
        </is>
      </c>
      <c r="G113" t="inlineStr">
        <is>
          <t>HALLSBERG</t>
        </is>
      </c>
      <c r="H113" t="inlineStr">
        <is>
          <t>Sveaskog</t>
        </is>
      </c>
      <c r="I113" t="n">
        <v>4.4</v>
      </c>
      <c r="J113" t="n">
        <v>0</v>
      </c>
      <c r="K113" t="n">
        <v>0</v>
      </c>
      <c r="L113" t="n">
        <v>0</v>
      </c>
      <c r="M113" t="n">
        <v>0</v>
      </c>
      <c r="N113" t="n">
        <v>0</v>
      </c>
      <c r="O113" t="n">
        <v>0</v>
      </c>
      <c r="P113" t="n">
        <v>0</v>
      </c>
      <c r="Q113" t="n">
        <v>0</v>
      </c>
      <c r="R113" t="n">
        <v>0</v>
      </c>
      <c r="S113" t="n">
        <v>0</v>
      </c>
      <c r="T113" t="n">
        <v>0</v>
      </c>
      <c r="U113" s="2" t="inlineStr"/>
    </row>
    <row r="114" ht="15" customHeight="1">
      <c r="A114" t="inlineStr">
        <is>
          <t>A 49582-2022</t>
        </is>
      </c>
      <c r="B114" t="inlineStr">
        <is>
          <t>avverkningsanmälan</t>
        </is>
      </c>
      <c r="C114" t="inlineStr">
        <is>
          <t>Föryngringsavverkning</t>
        </is>
      </c>
      <c r="D114" s="1" t="n">
        <v>44862</v>
      </c>
      <c r="E114" s="1" t="n">
        <v>46222</v>
      </c>
      <c r="F114" t="inlineStr">
        <is>
          <t>ÖREBRO LÄN</t>
        </is>
      </c>
      <c r="G114" t="inlineStr">
        <is>
          <t>HALLSBERG</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54679-2023</t>
        </is>
      </c>
      <c r="B115" t="inlineStr">
        <is>
          <t>avverkningsanmälan</t>
        </is>
      </c>
      <c r="C115" t="inlineStr">
        <is>
          <t>Föryngringsavverkning</t>
        </is>
      </c>
      <c r="D115" s="1" t="n">
        <v>45235</v>
      </c>
      <c r="E115" s="1" t="n">
        <v>46222</v>
      </c>
      <c r="F115" t="inlineStr">
        <is>
          <t>ÖREBRO LÄN</t>
        </is>
      </c>
      <c r="G115" t="inlineStr">
        <is>
          <t>HALLSBERG</t>
        </is>
      </c>
      <c r="H115" t="inlineStr">
        <is>
          <t>Sveaskog</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29908-2024</t>
        </is>
      </c>
      <c r="B116" t="inlineStr">
        <is>
          <t>avverkningsanmälan</t>
        </is>
      </c>
      <c r="C116" t="inlineStr">
        <is>
          <t>Föryngringsavverkning</t>
        </is>
      </c>
      <c r="D116" s="1" t="n">
        <v>45487</v>
      </c>
      <c r="E116" s="1" t="n">
        <v>46222</v>
      </c>
      <c r="F116" t="inlineStr">
        <is>
          <t>ÖREBRO LÄN</t>
        </is>
      </c>
      <c r="G116" t="inlineStr">
        <is>
          <t>HALLSBERG</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64172-2023</t>
        </is>
      </c>
      <c r="B117" t="inlineStr">
        <is>
          <t>avverkningsanmälan</t>
        </is>
      </c>
      <c r="C117" t="inlineStr">
        <is>
          <t>Föryngringsavverkning</t>
        </is>
      </c>
      <c r="D117" s="1" t="n">
        <v>45279</v>
      </c>
      <c r="E117" s="1" t="n">
        <v>46222</v>
      </c>
      <c r="F117" t="inlineStr">
        <is>
          <t>ÖREBRO LÄN</t>
        </is>
      </c>
      <c r="G117" t="inlineStr">
        <is>
          <t>HALLSBERG</t>
        </is>
      </c>
      <c r="H117" t="inlineStr">
        <is>
          <t>Övriga Aktiebolag</t>
        </is>
      </c>
      <c r="I117" t="n">
        <v>6.3</v>
      </c>
      <c r="J117" t="n">
        <v>0</v>
      </c>
      <c r="K117" t="n">
        <v>0</v>
      </c>
      <c r="L117" t="n">
        <v>0</v>
      </c>
      <c r="M117" t="n">
        <v>0</v>
      </c>
      <c r="N117" t="n">
        <v>0</v>
      </c>
      <c r="O117" t="n">
        <v>0</v>
      </c>
      <c r="P117" t="n">
        <v>0</v>
      </c>
      <c r="Q117" t="n">
        <v>0</v>
      </c>
      <c r="R117" t="n">
        <v>0</v>
      </c>
      <c r="S117" t="n">
        <v>0</v>
      </c>
      <c r="T117" t="n">
        <v>0</v>
      </c>
      <c r="U117" s="2" t="inlineStr"/>
    </row>
    <row r="118" ht="15" customHeight="1">
      <c r="A118" t="inlineStr">
        <is>
          <t>A 37277-2024</t>
        </is>
      </c>
      <c r="B118" t="inlineStr">
        <is>
          <t>avverkningsanmälan</t>
        </is>
      </c>
      <c r="C118" t="inlineStr">
        <is>
          <t>Föryngringsavverkning</t>
        </is>
      </c>
      <c r="D118" s="1" t="n">
        <v>45540</v>
      </c>
      <c r="E118" s="1" t="n">
        <v>46222</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9645-2024</t>
        </is>
      </c>
      <c r="B119" t="inlineStr">
        <is>
          <t>avverkningsanmälan</t>
        </is>
      </c>
      <c r="C119" t="inlineStr">
        <is>
          <t>Föryngringsavverkning</t>
        </is>
      </c>
      <c r="D119" s="1" t="n">
        <v>45362</v>
      </c>
      <c r="E119" s="1" t="n">
        <v>46222</v>
      </c>
      <c r="F119" t="inlineStr">
        <is>
          <t>ÖREBRO LÄN</t>
        </is>
      </c>
      <c r="G119" t="inlineStr">
        <is>
          <t>HALLSBERG</t>
        </is>
      </c>
      <c r="H119" t="inlineStr">
        <is>
          <t>Sveaskog</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26842-2025</t>
        </is>
      </c>
      <c r="B120" t="inlineStr">
        <is>
          <t>avverkningsanmälan</t>
        </is>
      </c>
      <c r="C120" t="inlineStr">
        <is>
          <t>Föryngringsavverkning</t>
        </is>
      </c>
      <c r="D120" s="1" t="n">
        <v>45810</v>
      </c>
      <c r="E120" s="1" t="n">
        <v>46222</v>
      </c>
      <c r="F120" t="inlineStr">
        <is>
          <t>ÖREBRO LÄN</t>
        </is>
      </c>
      <c r="G120" t="inlineStr">
        <is>
          <t>HALLSBERG</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3236-2026</t>
        </is>
      </c>
      <c r="B121" t="inlineStr">
        <is>
          <t>avverkningsanmälan</t>
        </is>
      </c>
      <c r="C121" t="inlineStr">
        <is>
          <t>Föryngringsavverkning</t>
        </is>
      </c>
      <c r="D121" s="1" t="n">
        <v>46041</v>
      </c>
      <c r="E121" s="1" t="n">
        <v>46222</v>
      </c>
      <c r="F121" t="inlineStr">
        <is>
          <t>ÖREBRO LÄN</t>
        </is>
      </c>
      <c r="G121" t="inlineStr">
        <is>
          <t>HALLSBERG</t>
        </is>
      </c>
      <c r="H121" t="inlineStr">
        <is>
          <t>Kyrkan</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3259-2026</t>
        </is>
      </c>
      <c r="B122" t="inlineStr">
        <is>
          <t>avverkningsanmälan</t>
        </is>
      </c>
      <c r="C122" t="inlineStr">
        <is>
          <t>Föryngringsavverkning</t>
        </is>
      </c>
      <c r="D122" s="1" t="n">
        <v>46041</v>
      </c>
      <c r="E122" s="1" t="n">
        <v>46222</v>
      </c>
      <c r="F122" t="inlineStr">
        <is>
          <t>ÖREBRO LÄN</t>
        </is>
      </c>
      <c r="G122" t="inlineStr">
        <is>
          <t>HALLSBERG</t>
        </is>
      </c>
      <c r="H122" t="inlineStr">
        <is>
          <t>Kyrkan</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3235-2026</t>
        </is>
      </c>
      <c r="B123" t="inlineStr">
        <is>
          <t>avverkningsanmälan</t>
        </is>
      </c>
      <c r="C123" t="inlineStr">
        <is>
          <t>Föryngringsavverkning</t>
        </is>
      </c>
      <c r="D123" s="1" t="n">
        <v>46041</v>
      </c>
      <c r="E123" s="1" t="n">
        <v>46222</v>
      </c>
      <c r="F123" t="inlineStr">
        <is>
          <t>ÖREBRO LÄN</t>
        </is>
      </c>
      <c r="G123" t="inlineStr">
        <is>
          <t>HALLSBERG</t>
        </is>
      </c>
      <c r="H123" t="inlineStr">
        <is>
          <t>Kyrkan</t>
        </is>
      </c>
      <c r="I123" t="n">
        <v>4</v>
      </c>
      <c r="J123" t="n">
        <v>0</v>
      </c>
      <c r="K123" t="n">
        <v>0</v>
      </c>
      <c r="L123" t="n">
        <v>0</v>
      </c>
      <c r="M123" t="n">
        <v>0</v>
      </c>
      <c r="N123" t="n">
        <v>0</v>
      </c>
      <c r="O123" t="n">
        <v>0</v>
      </c>
      <c r="P123" t="n">
        <v>0</v>
      </c>
      <c r="Q123" t="n">
        <v>0</v>
      </c>
      <c r="R123" t="n">
        <v>0</v>
      </c>
      <c r="S123" t="n">
        <v>0</v>
      </c>
      <c r="T123" t="n">
        <v>0</v>
      </c>
      <c r="U123" s="2" t="inlineStr"/>
    </row>
    <row r="124" ht="15" customHeight="1">
      <c r="A124" t="inlineStr">
        <is>
          <t>A 3257-2026</t>
        </is>
      </c>
      <c r="B124" t="inlineStr">
        <is>
          <t>avverkningsanmälan</t>
        </is>
      </c>
      <c r="C124" t="inlineStr">
        <is>
          <t>Föryngringsavverkning</t>
        </is>
      </c>
      <c r="D124" s="1" t="n">
        <v>46041</v>
      </c>
      <c r="E124" s="1" t="n">
        <v>46222</v>
      </c>
      <c r="F124" t="inlineStr">
        <is>
          <t>ÖREBRO LÄN</t>
        </is>
      </c>
      <c r="G124" t="inlineStr">
        <is>
          <t>HALLSBERG</t>
        </is>
      </c>
      <c r="H124" t="inlineStr">
        <is>
          <t>Kyrkan</t>
        </is>
      </c>
      <c r="I124" t="n">
        <v>3</v>
      </c>
      <c r="J124" t="n">
        <v>0</v>
      </c>
      <c r="K124" t="n">
        <v>0</v>
      </c>
      <c r="L124" t="n">
        <v>0</v>
      </c>
      <c r="M124" t="n">
        <v>0</v>
      </c>
      <c r="N124" t="n">
        <v>0</v>
      </c>
      <c r="O124" t="n">
        <v>0</v>
      </c>
      <c r="P124" t="n">
        <v>0</v>
      </c>
      <c r="Q124" t="n">
        <v>0</v>
      </c>
      <c r="R124" t="n">
        <v>0</v>
      </c>
      <c r="S124" t="n">
        <v>0</v>
      </c>
      <c r="T124" t="n">
        <v>0</v>
      </c>
      <c r="U124" s="2" t="inlineStr"/>
    </row>
    <row r="125" ht="15" customHeight="1">
      <c r="A125" t="inlineStr">
        <is>
          <t>A 7784-2024</t>
        </is>
      </c>
      <c r="B125" t="inlineStr">
        <is>
          <t>avverkningsanmälan</t>
        </is>
      </c>
      <c r="C125" t="inlineStr">
        <is>
          <t>Föryngringsavverkning</t>
        </is>
      </c>
      <c r="D125" s="1" t="n">
        <v>45349</v>
      </c>
      <c r="E125" s="1" t="n">
        <v>46222</v>
      </c>
      <c r="F125" t="inlineStr">
        <is>
          <t>ÖREBRO LÄN</t>
        </is>
      </c>
      <c r="G125" t="inlineStr">
        <is>
          <t>HALLSBERG</t>
        </is>
      </c>
      <c r="I125" t="n">
        <v>3.8</v>
      </c>
      <c r="J125" t="n">
        <v>0</v>
      </c>
      <c r="K125" t="n">
        <v>0</v>
      </c>
      <c r="L125" t="n">
        <v>0</v>
      </c>
      <c r="M125" t="n">
        <v>0</v>
      </c>
      <c r="N125" t="n">
        <v>0</v>
      </c>
      <c r="O125" t="n">
        <v>0</v>
      </c>
      <c r="P125" t="n">
        <v>0</v>
      </c>
      <c r="Q125" t="n">
        <v>0</v>
      </c>
      <c r="R125" t="n">
        <v>0</v>
      </c>
      <c r="S125" t="n">
        <v>0</v>
      </c>
      <c r="T125" t="n">
        <v>0</v>
      </c>
      <c r="U125" s="2" t="inlineStr"/>
    </row>
    <row r="126" ht="15" customHeight="1">
      <c r="A126" t="inlineStr">
        <is>
          <t>A 7788-2024</t>
        </is>
      </c>
      <c r="B126" t="inlineStr">
        <is>
          <t>avverkningsanmälan</t>
        </is>
      </c>
      <c r="C126" t="inlineStr">
        <is>
          <t>Föryngringsavverkning</t>
        </is>
      </c>
      <c r="D126" s="1" t="n">
        <v>45349</v>
      </c>
      <c r="E126" s="1" t="n">
        <v>46222</v>
      </c>
      <c r="F126" t="inlineStr">
        <is>
          <t>ÖREBRO LÄN</t>
        </is>
      </c>
      <c r="G126" t="inlineStr">
        <is>
          <t>HALLSBERG</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3896-2026</t>
        </is>
      </c>
      <c r="B127" t="inlineStr">
        <is>
          <t>avverkningsanmälan</t>
        </is>
      </c>
      <c r="C127" t="inlineStr">
        <is>
          <t>Föryngringsavverkning</t>
        </is>
      </c>
      <c r="D127" s="1" t="n">
        <v>46043</v>
      </c>
      <c r="E127" s="1" t="n">
        <v>46222</v>
      </c>
      <c r="F127" t="inlineStr">
        <is>
          <t>ÖREBRO LÄN</t>
        </is>
      </c>
      <c r="G127" t="inlineStr">
        <is>
          <t>HALLSBERG</t>
        </is>
      </c>
      <c r="H127" t="inlineStr">
        <is>
          <t>Övriga Aktiebolag</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3897-2026</t>
        </is>
      </c>
      <c r="B128" t="inlineStr">
        <is>
          <t>avverkningsanmälan</t>
        </is>
      </c>
      <c r="C128" t="inlineStr">
        <is>
          <t>Föryngringsavverkning</t>
        </is>
      </c>
      <c r="D128" s="1" t="n">
        <v>46043</v>
      </c>
      <c r="E128" s="1" t="n">
        <v>46222</v>
      </c>
      <c r="F128" t="inlineStr">
        <is>
          <t>ÖREBRO LÄN</t>
        </is>
      </c>
      <c r="G128" t="inlineStr">
        <is>
          <t>HALLSBERG</t>
        </is>
      </c>
      <c r="H128" t="inlineStr">
        <is>
          <t>Övriga Aktiebolag</t>
        </is>
      </c>
      <c r="I128" t="n">
        <v>11.3</v>
      </c>
      <c r="J128" t="n">
        <v>0</v>
      </c>
      <c r="K128" t="n">
        <v>0</v>
      </c>
      <c r="L128" t="n">
        <v>0</v>
      </c>
      <c r="M128" t="n">
        <v>0</v>
      </c>
      <c r="N128" t="n">
        <v>0</v>
      </c>
      <c r="O128" t="n">
        <v>0</v>
      </c>
      <c r="P128" t="n">
        <v>0</v>
      </c>
      <c r="Q128" t="n">
        <v>0</v>
      </c>
      <c r="R128" t="n">
        <v>0</v>
      </c>
      <c r="S128" t="n">
        <v>0</v>
      </c>
      <c r="T128" t="n">
        <v>0</v>
      </c>
      <c r="U128" s="2" t="inlineStr"/>
    </row>
    <row r="129" ht="15" customHeight="1">
      <c r="A129" t="inlineStr">
        <is>
          <t>A 27148-2025</t>
        </is>
      </c>
      <c r="B129" t="inlineStr">
        <is>
          <t>avverkningsanmälan</t>
        </is>
      </c>
      <c r="C129" t="inlineStr">
        <is>
          <t>Föryngringsavverkning</t>
        </is>
      </c>
      <c r="D129" s="1" t="n">
        <v>45812</v>
      </c>
      <c r="E129" s="1" t="n">
        <v>46222</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9414-2022</t>
        </is>
      </c>
      <c r="B130" t="inlineStr">
        <is>
          <t>avverkningsanmälan</t>
        </is>
      </c>
      <c r="C130" t="inlineStr">
        <is>
          <t>Föryngringsavverkning</t>
        </is>
      </c>
      <c r="D130" s="1" t="n">
        <v>44616</v>
      </c>
      <c r="E130" s="1" t="n">
        <v>46222</v>
      </c>
      <c r="F130" t="inlineStr">
        <is>
          <t>ÖREBRO LÄN</t>
        </is>
      </c>
      <c r="G130" t="inlineStr">
        <is>
          <t>HALLSBERG</t>
        </is>
      </c>
      <c r="H130" t="inlineStr">
        <is>
          <t>Allmännings- och besparingsskogar</t>
        </is>
      </c>
      <c r="I130" t="n">
        <v>8.9</v>
      </c>
      <c r="J130" t="n">
        <v>0</v>
      </c>
      <c r="K130" t="n">
        <v>0</v>
      </c>
      <c r="L130" t="n">
        <v>0</v>
      </c>
      <c r="M130" t="n">
        <v>0</v>
      </c>
      <c r="N130" t="n">
        <v>0</v>
      </c>
      <c r="O130" t="n">
        <v>0</v>
      </c>
      <c r="P130" t="n">
        <v>0</v>
      </c>
      <c r="Q130" t="n">
        <v>0</v>
      </c>
      <c r="R130" t="n">
        <v>0</v>
      </c>
      <c r="S130" t="n">
        <v>0</v>
      </c>
      <c r="T130" t="n">
        <v>0</v>
      </c>
      <c r="U130" s="2" t="inlineStr"/>
    </row>
    <row r="131" ht="15" customHeight="1">
      <c r="A131" t="inlineStr">
        <is>
          <t>A 27146-2025</t>
        </is>
      </c>
      <c r="B131" t="inlineStr">
        <is>
          <t>avverkningsanmälan</t>
        </is>
      </c>
      <c r="C131" t="inlineStr">
        <is>
          <t>Föryngringsavverkning</t>
        </is>
      </c>
      <c r="D131" s="1" t="n">
        <v>45812</v>
      </c>
      <c r="E131" s="1" t="n">
        <v>46222</v>
      </c>
      <c r="F131" t="inlineStr">
        <is>
          <t>ÖREBRO LÄN</t>
        </is>
      </c>
      <c r="G131" t="inlineStr">
        <is>
          <t>HALLSBERG</t>
        </is>
      </c>
      <c r="I131" t="n">
        <v>6.2</v>
      </c>
      <c r="J131" t="n">
        <v>0</v>
      </c>
      <c r="K131" t="n">
        <v>0</v>
      </c>
      <c r="L131" t="n">
        <v>0</v>
      </c>
      <c r="M131" t="n">
        <v>0</v>
      </c>
      <c r="N131" t="n">
        <v>0</v>
      </c>
      <c r="O131" t="n">
        <v>0</v>
      </c>
      <c r="P131" t="n">
        <v>0</v>
      </c>
      <c r="Q131" t="n">
        <v>0</v>
      </c>
      <c r="R131" t="n">
        <v>0</v>
      </c>
      <c r="S131" t="n">
        <v>0</v>
      </c>
      <c r="T131" t="n">
        <v>0</v>
      </c>
      <c r="U131" s="2" t="inlineStr"/>
    </row>
    <row r="132" ht="15" customHeight="1">
      <c r="A132" t="inlineStr">
        <is>
          <t>A 27147-2025</t>
        </is>
      </c>
      <c r="B132" t="inlineStr">
        <is>
          <t>avverkningsanmälan</t>
        </is>
      </c>
      <c r="C132" t="inlineStr">
        <is>
          <t>Föryngringsavverkning</t>
        </is>
      </c>
      <c r="D132" s="1" t="n">
        <v>45812</v>
      </c>
      <c r="E132" s="1" t="n">
        <v>46222</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19709-2024</t>
        </is>
      </c>
      <c r="B133" t="inlineStr">
        <is>
          <t>avverkningsanmälan</t>
        </is>
      </c>
      <c r="C133" t="inlineStr">
        <is>
          <t>Föryngringsavverkning</t>
        </is>
      </c>
      <c r="D133" s="1" t="n">
        <v>45432</v>
      </c>
      <c r="E133" s="1" t="n">
        <v>46222</v>
      </c>
      <c r="F133" t="inlineStr">
        <is>
          <t>ÖREBRO LÄN</t>
        </is>
      </c>
      <c r="G133" t="inlineStr">
        <is>
          <t>HALLSBERG</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16441-2025</t>
        </is>
      </c>
      <c r="B134" t="inlineStr">
        <is>
          <t>avverkningsanmälan</t>
        </is>
      </c>
      <c r="C134" t="inlineStr">
        <is>
          <t>Föryngringsavverkning</t>
        </is>
      </c>
      <c r="D134" s="1" t="n">
        <v>45751</v>
      </c>
      <c r="E134" s="1" t="n">
        <v>46222</v>
      </c>
      <c r="F134" t="inlineStr">
        <is>
          <t>ÖREBRO LÄN</t>
        </is>
      </c>
      <c r="G134" t="inlineStr">
        <is>
          <t>HALLSBERG</t>
        </is>
      </c>
      <c r="H134" t="inlineStr">
        <is>
          <t>Sveaskog</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6766-2025</t>
        </is>
      </c>
      <c r="B135" t="inlineStr">
        <is>
          <t>avverkningsanmälan</t>
        </is>
      </c>
      <c r="C135" t="inlineStr">
        <is>
          <t>Föryngringsavverkning</t>
        </is>
      </c>
      <c r="D135" s="1" t="n">
        <v>45700</v>
      </c>
      <c r="E135" s="1" t="n">
        <v>46222</v>
      </c>
      <c r="F135" t="inlineStr">
        <is>
          <t>ÖREBRO LÄN</t>
        </is>
      </c>
      <c r="G135" t="inlineStr">
        <is>
          <t>HALLSBERG</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51479-2022</t>
        </is>
      </c>
      <c r="B136" t="inlineStr">
        <is>
          <t>avverkningsanmälan</t>
        </is>
      </c>
      <c r="C136" t="inlineStr">
        <is>
          <t>Föryngringsavverkning</t>
        </is>
      </c>
      <c r="D136" s="1" t="n">
        <v>44869</v>
      </c>
      <c r="E136" s="1" t="n">
        <v>46222</v>
      </c>
      <c r="F136" t="inlineStr">
        <is>
          <t>ÖREBRO LÄN</t>
        </is>
      </c>
      <c r="G136" t="inlineStr">
        <is>
          <t>HALLSBERG</t>
        </is>
      </c>
      <c r="H136" t="inlineStr">
        <is>
          <t>Övriga Aktiebolag</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40067-2025</t>
        </is>
      </c>
      <c r="B137" t="inlineStr">
        <is>
          <t>avverkningsanmälan</t>
        </is>
      </c>
      <c r="C137" t="inlineStr">
        <is>
          <t>Föryngringsavverkning</t>
        </is>
      </c>
      <c r="D137" s="1" t="n">
        <v>45894</v>
      </c>
      <c r="E137" s="1" t="n">
        <v>46222</v>
      </c>
      <c r="F137" t="inlineStr">
        <is>
          <t>ÖREBRO LÄN</t>
        </is>
      </c>
      <c r="G137" t="inlineStr">
        <is>
          <t>HALLSBERG</t>
        </is>
      </c>
      <c r="H137" t="inlineStr">
        <is>
          <t>Sveaskog</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5604-2023</t>
        </is>
      </c>
      <c r="B138" t="inlineStr">
        <is>
          <t>avverkningsanmälan</t>
        </is>
      </c>
      <c r="C138" t="inlineStr">
        <is>
          <t>Föryngringsavverkning</t>
        </is>
      </c>
      <c r="D138" s="1" t="n">
        <v>44960</v>
      </c>
      <c r="E138" s="1" t="n">
        <v>46222</v>
      </c>
      <c r="F138" t="inlineStr">
        <is>
          <t>ÖREBRO LÄN</t>
        </is>
      </c>
      <c r="G138" t="inlineStr">
        <is>
          <t>HALLSBERG</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5608-2023</t>
        </is>
      </c>
      <c r="B139" t="inlineStr">
        <is>
          <t>avverkningsanmälan</t>
        </is>
      </c>
      <c r="C139" t="inlineStr">
        <is>
          <t>Föryngringsavverkning</t>
        </is>
      </c>
      <c r="D139" s="1" t="n">
        <v>44960</v>
      </c>
      <c r="E139" s="1" t="n">
        <v>46222</v>
      </c>
      <c r="F139" t="inlineStr">
        <is>
          <t>ÖREBRO LÄN</t>
        </is>
      </c>
      <c r="G139" t="inlineStr">
        <is>
          <t>HALLSBERG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6366-2024</t>
        </is>
      </c>
      <c r="B140" t="inlineStr">
        <is>
          <t>avverkningsanmälan</t>
        </is>
      </c>
      <c r="C140" t="inlineStr">
        <is>
          <t>Föryngringsavverkning</t>
        </is>
      </c>
      <c r="D140" s="1" t="n">
        <v>45338</v>
      </c>
      <c r="E140" s="1" t="n">
        <v>46222</v>
      </c>
      <c r="F140" t="inlineStr">
        <is>
          <t>ÖREBRO LÄN</t>
        </is>
      </c>
      <c r="G140" t="inlineStr">
        <is>
          <t>HALLSBERG</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46862-2024</t>
        </is>
      </c>
      <c r="B141" t="inlineStr">
        <is>
          <t>avverkningsanmälan</t>
        </is>
      </c>
      <c r="C141" t="inlineStr">
        <is>
          <t>Föryngringsavverkning</t>
        </is>
      </c>
      <c r="D141" s="1" t="n">
        <v>45583</v>
      </c>
      <c r="E141" s="1" t="n">
        <v>46222</v>
      </c>
      <c r="F141" t="inlineStr">
        <is>
          <t>ÖREBRO LÄN</t>
        </is>
      </c>
      <c r="G141" t="inlineStr">
        <is>
          <t>HALLSBERG</t>
        </is>
      </c>
      <c r="H141" t="inlineStr">
        <is>
          <t>Sveaskog</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41468-2025</t>
        </is>
      </c>
      <c r="B142" t="inlineStr">
        <is>
          <t>avverkningsanmälan</t>
        </is>
      </c>
      <c r="C142" t="inlineStr">
        <is>
          <t>Föryngringsavverkning</t>
        </is>
      </c>
      <c r="D142" s="1" t="n">
        <v>45896</v>
      </c>
      <c r="E142" s="1" t="n">
        <v>46222</v>
      </c>
      <c r="F142" t="inlineStr">
        <is>
          <t>ÖREBRO LÄN</t>
        </is>
      </c>
      <c r="G142" t="inlineStr">
        <is>
          <t>HALLSBERG</t>
        </is>
      </c>
      <c r="I142" t="n">
        <v>4.8</v>
      </c>
      <c r="J142" t="n">
        <v>0</v>
      </c>
      <c r="K142" t="n">
        <v>0</v>
      </c>
      <c r="L142" t="n">
        <v>0</v>
      </c>
      <c r="M142" t="n">
        <v>0</v>
      </c>
      <c r="N142" t="n">
        <v>0</v>
      </c>
      <c r="O142" t="n">
        <v>0</v>
      </c>
      <c r="P142" t="n">
        <v>0</v>
      </c>
      <c r="Q142" t="n">
        <v>0</v>
      </c>
      <c r="R142" t="n">
        <v>0</v>
      </c>
      <c r="S142" t="n">
        <v>0</v>
      </c>
      <c r="T142" t="n">
        <v>0</v>
      </c>
      <c r="U142" s="2" t="inlineStr"/>
    </row>
    <row r="143" ht="15" customHeight="1">
      <c r="A143" t="inlineStr">
        <is>
          <t>A 41693-2025</t>
        </is>
      </c>
      <c r="B143" t="inlineStr">
        <is>
          <t>avverkningsanmälan</t>
        </is>
      </c>
      <c r="C143" t="inlineStr">
        <is>
          <t>Föryngringsavverkning</t>
        </is>
      </c>
      <c r="D143" s="1" t="n">
        <v>45902</v>
      </c>
      <c r="E143" s="1" t="n">
        <v>46222</v>
      </c>
      <c r="F143" t="inlineStr">
        <is>
          <t>ÖREBRO LÄN</t>
        </is>
      </c>
      <c r="G143" t="inlineStr">
        <is>
          <t>HALLSBERG</t>
        </is>
      </c>
      <c r="I143" t="n">
        <v>2.5</v>
      </c>
      <c r="J143" t="n">
        <v>0</v>
      </c>
      <c r="K143" t="n">
        <v>0</v>
      </c>
      <c r="L143" t="n">
        <v>0</v>
      </c>
      <c r="M143" t="n">
        <v>0</v>
      </c>
      <c r="N143" t="n">
        <v>0</v>
      </c>
      <c r="O143" t="n">
        <v>0</v>
      </c>
      <c r="P143" t="n">
        <v>0</v>
      </c>
      <c r="Q143" t="n">
        <v>0</v>
      </c>
      <c r="R143" t="n">
        <v>0</v>
      </c>
      <c r="S143" t="n">
        <v>0</v>
      </c>
      <c r="T143" t="n">
        <v>0</v>
      </c>
      <c r="U143" s="2" t="inlineStr"/>
    </row>
    <row r="144" ht="15" customHeight="1">
      <c r="A144" t="inlineStr">
        <is>
          <t>A 46835-2024</t>
        </is>
      </c>
      <c r="B144" t="inlineStr">
        <is>
          <t>avverkningsanmälan</t>
        </is>
      </c>
      <c r="C144" t="inlineStr">
        <is>
          <t>Föryngringsavverkning</t>
        </is>
      </c>
      <c r="D144" s="1" t="n">
        <v>45583</v>
      </c>
      <c r="E144" s="1" t="n">
        <v>46222</v>
      </c>
      <c r="F144" t="inlineStr">
        <is>
          <t>ÖREBRO LÄN</t>
        </is>
      </c>
      <c r="G144" t="inlineStr">
        <is>
          <t>HALLSBERG</t>
        </is>
      </c>
      <c r="H144" t="inlineStr">
        <is>
          <t>Sveaskog</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41278-2024</t>
        </is>
      </c>
      <c r="B145" t="inlineStr">
        <is>
          <t>avverkningsanmälan</t>
        </is>
      </c>
      <c r="C145" t="inlineStr">
        <is>
          <t>Föryngringsavverkning</t>
        </is>
      </c>
      <c r="D145" s="1" t="n">
        <v>45559</v>
      </c>
      <c r="E145" s="1" t="n">
        <v>46222</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42604-2025</t>
        </is>
      </c>
      <c r="B146" t="inlineStr">
        <is>
          <t>avverkningsanmälan</t>
        </is>
      </c>
      <c r="C146" t="inlineStr">
        <is>
          <t>Föryngringsavverkning</t>
        </is>
      </c>
      <c r="D146" s="1" t="n">
        <v>45905</v>
      </c>
      <c r="E146" s="1" t="n">
        <v>46222</v>
      </c>
      <c r="F146" t="inlineStr">
        <is>
          <t>ÖREBRO LÄN</t>
        </is>
      </c>
      <c r="G146" t="inlineStr">
        <is>
          <t>HALLSBERG</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42411-2025</t>
        </is>
      </c>
      <c r="B147" t="inlineStr">
        <is>
          <t>avverkningsanmälan</t>
        </is>
      </c>
      <c r="C147" t="inlineStr">
        <is>
          <t>Föryngringsavverkning</t>
        </is>
      </c>
      <c r="D147" s="1" t="n">
        <v>45905</v>
      </c>
      <c r="E147" s="1" t="n">
        <v>46222</v>
      </c>
      <c r="F147" t="inlineStr">
        <is>
          <t>ÖREBRO LÄN</t>
        </is>
      </c>
      <c r="G147" t="inlineStr">
        <is>
          <t>HALLSBERG</t>
        </is>
      </c>
      <c r="H147" t="inlineStr">
        <is>
          <t>Kommuner</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14934-2024</t>
        </is>
      </c>
      <c r="B148" t="inlineStr">
        <is>
          <t>avverkningsanmälan</t>
        </is>
      </c>
      <c r="C148" t="inlineStr">
        <is>
          <t>Föryngringsavverkning</t>
        </is>
      </c>
      <c r="D148" s="1" t="n">
        <v>45398</v>
      </c>
      <c r="E148" s="1" t="n">
        <v>46222</v>
      </c>
      <c r="F148" t="inlineStr">
        <is>
          <t>ÖREBRO LÄN</t>
        </is>
      </c>
      <c r="G148" t="inlineStr">
        <is>
          <t>HALLSBERG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43379-2025</t>
        </is>
      </c>
      <c r="B149" t="inlineStr">
        <is>
          <t>avverkningsanmälan</t>
        </is>
      </c>
      <c r="C149" t="inlineStr">
        <is>
          <t>Föryngringsavverkning</t>
        </is>
      </c>
      <c r="D149" s="1" t="n">
        <v>45911</v>
      </c>
      <c r="E149" s="1" t="n">
        <v>46222</v>
      </c>
      <c r="F149" t="inlineStr">
        <is>
          <t>ÖREBRO LÄN</t>
        </is>
      </c>
      <c r="G149" t="inlineStr">
        <is>
          <t>HALLSBERG</t>
        </is>
      </c>
      <c r="H149" t="inlineStr">
        <is>
          <t>Sveaskog</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44305-2025</t>
        </is>
      </c>
      <c r="B150" t="inlineStr">
        <is>
          <t>avverkningsanmälan</t>
        </is>
      </c>
      <c r="C150" t="inlineStr">
        <is>
          <t>Föryngringsavverkning</t>
        </is>
      </c>
      <c r="D150" s="1" t="n">
        <v>45916</v>
      </c>
      <c r="E150" s="1" t="n">
        <v>46222</v>
      </c>
      <c r="F150" t="inlineStr">
        <is>
          <t>ÖREBRO LÄN</t>
        </is>
      </c>
      <c r="G150" t="inlineStr">
        <is>
          <t>HALLSBERG</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44177-2025</t>
        </is>
      </c>
      <c r="B151" t="inlineStr">
        <is>
          <t>avverkningsanmälan</t>
        </is>
      </c>
      <c r="C151" t="inlineStr">
        <is>
          <t>Föryngringsavverkning</t>
        </is>
      </c>
      <c r="D151" s="1" t="n">
        <v>45915</v>
      </c>
      <c r="E151" s="1" t="n">
        <v>46222</v>
      </c>
      <c r="F151" t="inlineStr">
        <is>
          <t>ÖREBRO LÄN</t>
        </is>
      </c>
      <c r="G151" t="inlineStr">
        <is>
          <t>HALLSBERG</t>
        </is>
      </c>
      <c r="I151" t="n">
        <v>5.3</v>
      </c>
      <c r="J151" t="n">
        <v>0</v>
      </c>
      <c r="K151" t="n">
        <v>0</v>
      </c>
      <c r="L151" t="n">
        <v>0</v>
      </c>
      <c r="M151" t="n">
        <v>0</v>
      </c>
      <c r="N151" t="n">
        <v>0</v>
      </c>
      <c r="O151" t="n">
        <v>0</v>
      </c>
      <c r="P151" t="n">
        <v>0</v>
      </c>
      <c r="Q151" t="n">
        <v>0</v>
      </c>
      <c r="R151" t="n">
        <v>0</v>
      </c>
      <c r="S151" t="n">
        <v>0</v>
      </c>
      <c r="T151" t="n">
        <v>0</v>
      </c>
      <c r="U151" s="2" t="inlineStr"/>
    </row>
    <row r="152" ht="15" customHeight="1">
      <c r="A152" t="inlineStr">
        <is>
          <t>A 33729-2025</t>
        </is>
      </c>
      <c r="B152" t="inlineStr">
        <is>
          <t>avverkningsanmälan</t>
        </is>
      </c>
      <c r="C152" t="inlineStr">
        <is>
          <t>Föryngringsavverkning</t>
        </is>
      </c>
      <c r="D152" s="1" t="n">
        <v>45842</v>
      </c>
      <c r="E152" s="1" t="n">
        <v>46222</v>
      </c>
      <c r="F152" t="inlineStr">
        <is>
          <t>ÖREBRO LÄN</t>
        </is>
      </c>
      <c r="G152" t="inlineStr">
        <is>
          <t>HALLSBERG</t>
        </is>
      </c>
      <c r="H152" t="inlineStr">
        <is>
          <t>Allmännings- och besparingsskogar</t>
        </is>
      </c>
      <c r="I152" t="n">
        <v>7.5</v>
      </c>
      <c r="J152" t="n">
        <v>0</v>
      </c>
      <c r="K152" t="n">
        <v>0</v>
      </c>
      <c r="L152" t="n">
        <v>0</v>
      </c>
      <c r="M152" t="n">
        <v>0</v>
      </c>
      <c r="N152" t="n">
        <v>0</v>
      </c>
      <c r="O152" t="n">
        <v>0</v>
      </c>
      <c r="P152" t="n">
        <v>0</v>
      </c>
      <c r="Q152" t="n">
        <v>0</v>
      </c>
      <c r="R152" t="n">
        <v>0</v>
      </c>
      <c r="S152" t="n">
        <v>0</v>
      </c>
      <c r="T152" t="n">
        <v>0</v>
      </c>
      <c r="U152" s="2" t="inlineStr"/>
    </row>
    <row r="153" ht="15" customHeight="1">
      <c r="A153" t="inlineStr">
        <is>
          <t>A 44811-2023</t>
        </is>
      </c>
      <c r="B153" t="inlineStr">
        <is>
          <t>avverkningsanmälan</t>
        </is>
      </c>
      <c r="C153" t="inlineStr">
        <is>
          <t>Föryngringsavverkning</t>
        </is>
      </c>
      <c r="D153" s="1" t="n">
        <v>45190</v>
      </c>
      <c r="E153" s="1" t="n">
        <v>46222</v>
      </c>
      <c r="F153" t="inlineStr">
        <is>
          <t>ÖREBRO LÄN</t>
        </is>
      </c>
      <c r="G153" t="inlineStr">
        <is>
          <t>HALLSBERG</t>
        </is>
      </c>
      <c r="H153" t="inlineStr">
        <is>
          <t>Allmännings- och besparingsskogar</t>
        </is>
      </c>
      <c r="I153" t="n">
        <v>3.9</v>
      </c>
      <c r="J153" t="n">
        <v>0</v>
      </c>
      <c r="K153" t="n">
        <v>0</v>
      </c>
      <c r="L153" t="n">
        <v>0</v>
      </c>
      <c r="M153" t="n">
        <v>0</v>
      </c>
      <c r="N153" t="n">
        <v>0</v>
      </c>
      <c r="O153" t="n">
        <v>0</v>
      </c>
      <c r="P153" t="n">
        <v>0</v>
      </c>
      <c r="Q153" t="n">
        <v>0</v>
      </c>
      <c r="R153" t="n">
        <v>0</v>
      </c>
      <c r="S153" t="n">
        <v>0</v>
      </c>
      <c r="T153" t="n">
        <v>0</v>
      </c>
      <c r="U153" s="2" t="inlineStr"/>
    </row>
    <row r="154" ht="15" customHeight="1">
      <c r="A154" t="inlineStr">
        <is>
          <t>A 31893-2022</t>
        </is>
      </c>
      <c r="B154" t="inlineStr">
        <is>
          <t>avverkningsanmälan</t>
        </is>
      </c>
      <c r="C154" t="inlineStr">
        <is>
          <t>Föryngringsavverkning</t>
        </is>
      </c>
      <c r="D154" s="1" t="n">
        <v>44777</v>
      </c>
      <c r="E154" s="1" t="n">
        <v>46222</v>
      </c>
      <c r="F154" t="inlineStr">
        <is>
          <t>ÖREBRO LÄN</t>
        </is>
      </c>
      <c r="G154" t="inlineStr">
        <is>
          <t>HALLSBERG</t>
        </is>
      </c>
      <c r="H154" t="inlineStr">
        <is>
          <t>Övriga Aktiebolag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18891-2024</t>
        </is>
      </c>
      <c r="B155" t="inlineStr">
        <is>
          <t>avverkningsanmälan</t>
        </is>
      </c>
      <c r="C155" t="inlineStr">
        <is>
          <t>Föryngringsavverkning</t>
        </is>
      </c>
      <c r="D155" s="1" t="n">
        <v>45427</v>
      </c>
      <c r="E155" s="1" t="n">
        <v>46222</v>
      </c>
      <c r="F155" t="inlineStr">
        <is>
          <t>ÖREBRO LÄN</t>
        </is>
      </c>
      <c r="G155" t="inlineStr">
        <is>
          <t>HALLSBERG</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A 46160-2025</t>
        </is>
      </c>
      <c r="B156" t="inlineStr">
        <is>
          <t>avverkningsanmälan</t>
        </is>
      </c>
      <c r="C156" t="inlineStr">
        <is>
          <t>Avverkning för annat ändamål</t>
        </is>
      </c>
      <c r="D156" s="1" t="n">
        <v>45924</v>
      </c>
      <c r="E156" s="1" t="n">
        <v>46222</v>
      </c>
      <c r="F156" t="inlineStr">
        <is>
          <t>ÖREBRO LÄN</t>
        </is>
      </c>
      <c r="G156" t="inlineStr">
        <is>
          <t>HALLSBERG</t>
        </is>
      </c>
      <c r="H156" t="inlineStr">
        <is>
          <t>Sveaskog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4587-2023</t>
        </is>
      </c>
      <c r="B157" t="inlineStr">
        <is>
          <t>avverkningsanmälan</t>
        </is>
      </c>
      <c r="C157" t="inlineStr">
        <is>
          <t>Föryngringsavverkning</t>
        </is>
      </c>
      <c r="D157" s="1" t="n">
        <v>44956</v>
      </c>
      <c r="E157" s="1" t="n">
        <v>46222</v>
      </c>
      <c r="F157" t="inlineStr">
        <is>
          <t>ÖREBRO LÄN</t>
        </is>
      </c>
      <c r="G157" t="inlineStr">
        <is>
          <t>HALLSBERG</t>
        </is>
      </c>
      <c r="H157" t="inlineStr">
        <is>
          <t>Sveaskog</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63213-2023</t>
        </is>
      </c>
      <c r="B158" t="inlineStr">
        <is>
          <t>avverkningsanmälan</t>
        </is>
      </c>
      <c r="C158" t="inlineStr">
        <is>
          <t>Föryngringsavverkning</t>
        </is>
      </c>
      <c r="D158" s="1" t="n">
        <v>45272</v>
      </c>
      <c r="E158" s="1" t="n">
        <v>46222</v>
      </c>
      <c r="F158" t="inlineStr">
        <is>
          <t>ÖREBRO LÄN</t>
        </is>
      </c>
      <c r="G158" t="inlineStr">
        <is>
          <t>HALLSBERG</t>
        </is>
      </c>
      <c r="I158" t="n">
        <v>3.3</v>
      </c>
      <c r="J158" t="n">
        <v>0</v>
      </c>
      <c r="K158" t="n">
        <v>0</v>
      </c>
      <c r="L158" t="n">
        <v>0</v>
      </c>
      <c r="M158" t="n">
        <v>0</v>
      </c>
      <c r="N158" t="n">
        <v>0</v>
      </c>
      <c r="O158" t="n">
        <v>0</v>
      </c>
      <c r="P158" t="n">
        <v>0</v>
      </c>
      <c r="Q158" t="n">
        <v>0</v>
      </c>
      <c r="R158" t="n">
        <v>0</v>
      </c>
      <c r="S158" t="n">
        <v>0</v>
      </c>
      <c r="T158" t="n">
        <v>0</v>
      </c>
      <c r="U158" s="2" t="inlineStr"/>
    </row>
    <row r="159" ht="15" customHeight="1">
      <c r="A159" t="inlineStr">
        <is>
          <t>A 52707-2023</t>
        </is>
      </c>
      <c r="B159" t="inlineStr">
        <is>
          <t>avverkningsanmälan</t>
        </is>
      </c>
      <c r="C159" t="inlineStr">
        <is>
          <t>Föryngringsavverkning</t>
        </is>
      </c>
      <c r="D159" s="1" t="n">
        <v>45225</v>
      </c>
      <c r="E159" s="1" t="n">
        <v>46222</v>
      </c>
      <c r="F159" t="inlineStr">
        <is>
          <t>ÖREBRO LÄN</t>
        </is>
      </c>
      <c r="G159" t="inlineStr">
        <is>
          <t>HALLSBERG</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28535-2024</t>
        </is>
      </c>
      <c r="B160" t="inlineStr">
        <is>
          <t>avverkningsanmälan</t>
        </is>
      </c>
      <c r="C160" t="inlineStr">
        <is>
          <t>Avverkning för att bevara och utveckla /försöksver</t>
        </is>
      </c>
      <c r="D160" s="1" t="n">
        <v>45478</v>
      </c>
      <c r="E160" s="1" t="n">
        <v>46222</v>
      </c>
      <c r="F160" t="inlineStr">
        <is>
          <t>ÖREBRO LÄN</t>
        </is>
      </c>
      <c r="G160" t="inlineStr">
        <is>
          <t>HALLSBERG</t>
        </is>
      </c>
      <c r="H160" t="inlineStr">
        <is>
          <t>Sveaskog</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17016-2023</t>
        </is>
      </c>
      <c r="B161" t="inlineStr">
        <is>
          <t>avverkningsanmälan</t>
        </is>
      </c>
      <c r="C161" t="inlineStr">
        <is>
          <t>Föryngringsavverkning</t>
        </is>
      </c>
      <c r="D161" s="1" t="n">
        <v>45034</v>
      </c>
      <c r="E161" s="1" t="n">
        <v>46222</v>
      </c>
      <c r="F161" t="inlineStr">
        <is>
          <t>ÖREBRO LÄN</t>
        </is>
      </c>
      <c r="G161" t="inlineStr">
        <is>
          <t>HALLSBERG</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9073-2023</t>
        </is>
      </c>
      <c r="B162" t="inlineStr">
        <is>
          <t>avverkningsanmälan</t>
        </is>
      </c>
      <c r="C162" t="inlineStr">
        <is>
          <t>Föryngringsavverkning</t>
        </is>
      </c>
      <c r="D162" s="1" t="n">
        <v>44979</v>
      </c>
      <c r="E162" s="1" t="n">
        <v>46222</v>
      </c>
      <c r="F162" t="inlineStr">
        <is>
          <t>ÖREBRO LÄN</t>
        </is>
      </c>
      <c r="G162" t="inlineStr">
        <is>
          <t>HALLSBERG</t>
        </is>
      </c>
      <c r="I162" t="n">
        <v>0.2</v>
      </c>
      <c r="J162" t="n">
        <v>0</v>
      </c>
      <c r="K162" t="n">
        <v>0</v>
      </c>
      <c r="L162" t="n">
        <v>0</v>
      </c>
      <c r="M162" t="n">
        <v>0</v>
      </c>
      <c r="N162" t="n">
        <v>0</v>
      </c>
      <c r="O162" t="n">
        <v>0</v>
      </c>
      <c r="P162" t="n">
        <v>0</v>
      </c>
      <c r="Q162" t="n">
        <v>0</v>
      </c>
      <c r="R162" t="n">
        <v>0</v>
      </c>
      <c r="S162" t="n">
        <v>0</v>
      </c>
      <c r="T162" t="n">
        <v>0</v>
      </c>
      <c r="U162" s="2" t="inlineStr"/>
    </row>
    <row r="163" ht="15" customHeight="1">
      <c r="A163" t="inlineStr">
        <is>
          <t>A 12008-2025</t>
        </is>
      </c>
      <c r="B163" t="inlineStr">
        <is>
          <t>avverkningsanmälan</t>
        </is>
      </c>
      <c r="C163" t="inlineStr">
        <is>
          <t>Föryngringsavverkning</t>
        </is>
      </c>
      <c r="D163" s="1" t="n">
        <v>45728</v>
      </c>
      <c r="E163" s="1" t="n">
        <v>46222</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45300-2024</t>
        </is>
      </c>
      <c r="B164" t="inlineStr">
        <is>
          <t>avverkningsanmälan</t>
        </is>
      </c>
      <c r="C164" t="inlineStr">
        <is>
          <t>Föryngringsavverkning</t>
        </is>
      </c>
      <c r="D164" s="1" t="n">
        <v>45576</v>
      </c>
      <c r="E164" s="1" t="n">
        <v>46222</v>
      </c>
      <c r="F164" t="inlineStr">
        <is>
          <t>ÖREBRO LÄN</t>
        </is>
      </c>
      <c r="G164" t="inlineStr">
        <is>
          <t>HALLSBERG</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50893-2024</t>
        </is>
      </c>
      <c r="B165" t="inlineStr">
        <is>
          <t>avverkningsanmälan</t>
        </is>
      </c>
      <c r="C165" t="inlineStr">
        <is>
          <t>Föryngringsavverkning</t>
        </is>
      </c>
      <c r="D165" s="1" t="n">
        <v>45602</v>
      </c>
      <c r="E165" s="1" t="n">
        <v>46222</v>
      </c>
      <c r="F165" t="inlineStr">
        <is>
          <t>ÖREBRO LÄN</t>
        </is>
      </c>
      <c r="G165" t="inlineStr">
        <is>
          <t>HALLSBERG</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7238-2026</t>
        </is>
      </c>
      <c r="B166" t="inlineStr">
        <is>
          <t>avverkningsanmälan</t>
        </is>
      </c>
      <c r="C166" t="inlineStr">
        <is>
          <t>Föryngringsavverkning</t>
        </is>
      </c>
      <c r="D166" s="1" t="n">
        <v>46058</v>
      </c>
      <c r="E166" s="1" t="n">
        <v>46222</v>
      </c>
      <c r="F166" t="inlineStr">
        <is>
          <t>ÖREBRO LÄN</t>
        </is>
      </c>
      <c r="G166" t="inlineStr">
        <is>
          <t>HALLSBERG</t>
        </is>
      </c>
      <c r="H166" t="inlineStr">
        <is>
          <t>Övriga Aktiebolag</t>
        </is>
      </c>
      <c r="I166" t="n">
        <v>5.4</v>
      </c>
      <c r="J166" t="n">
        <v>0</v>
      </c>
      <c r="K166" t="n">
        <v>0</v>
      </c>
      <c r="L166" t="n">
        <v>0</v>
      </c>
      <c r="M166" t="n">
        <v>0</v>
      </c>
      <c r="N166" t="n">
        <v>0</v>
      </c>
      <c r="O166" t="n">
        <v>0</v>
      </c>
      <c r="P166" t="n">
        <v>0</v>
      </c>
      <c r="Q166" t="n">
        <v>0</v>
      </c>
      <c r="R166" t="n">
        <v>0</v>
      </c>
      <c r="S166" t="n">
        <v>0</v>
      </c>
      <c r="T166" t="n">
        <v>0</v>
      </c>
      <c r="U166" s="2" t="inlineStr"/>
    </row>
    <row r="167" ht="15" customHeight="1">
      <c r="A167" t="inlineStr">
        <is>
          <t>A 37054-2025</t>
        </is>
      </c>
      <c r="B167" t="inlineStr">
        <is>
          <t>avverkningsanmälan</t>
        </is>
      </c>
      <c r="C167" t="inlineStr">
        <is>
          <t>Föryngringsavverkning</t>
        </is>
      </c>
      <c r="D167" s="1" t="n">
        <v>45875</v>
      </c>
      <c r="E167" s="1" t="n">
        <v>46222</v>
      </c>
      <c r="F167" t="inlineStr">
        <is>
          <t>ÖREBRO LÄN</t>
        </is>
      </c>
      <c r="G167" t="inlineStr">
        <is>
          <t>HALLSBERG</t>
        </is>
      </c>
      <c r="I167" t="n">
        <v>1.1</v>
      </c>
      <c r="J167" t="n">
        <v>0</v>
      </c>
      <c r="K167" t="n">
        <v>0</v>
      </c>
      <c r="L167" t="n">
        <v>0</v>
      </c>
      <c r="M167" t="n">
        <v>0</v>
      </c>
      <c r="N167" t="n">
        <v>0</v>
      </c>
      <c r="O167" t="n">
        <v>0</v>
      </c>
      <c r="P167" t="n">
        <v>0</v>
      </c>
      <c r="Q167" t="n">
        <v>0</v>
      </c>
      <c r="R167" t="n">
        <v>0</v>
      </c>
      <c r="S167" t="n">
        <v>0</v>
      </c>
      <c r="T167" t="n">
        <v>0</v>
      </c>
      <c r="U167" s="2" t="inlineStr"/>
    </row>
    <row r="168" ht="15" customHeight="1">
      <c r="A168" t="inlineStr">
        <is>
          <t>A 37229-2025</t>
        </is>
      </c>
      <c r="B168" t="inlineStr">
        <is>
          <t>avverkningsanmälan</t>
        </is>
      </c>
      <c r="C168" t="inlineStr">
        <is>
          <t>Föryngringsavverkning</t>
        </is>
      </c>
      <c r="D168" s="1" t="n">
        <v>45876</v>
      </c>
      <c r="E168" s="1" t="n">
        <v>46222</v>
      </c>
      <c r="F168" t="inlineStr">
        <is>
          <t>ÖREBRO LÄN</t>
        </is>
      </c>
      <c r="G168" t="inlineStr">
        <is>
          <t>HALLSBERG</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37228-2025</t>
        </is>
      </c>
      <c r="B169" t="inlineStr">
        <is>
          <t>avverkningsanmälan</t>
        </is>
      </c>
      <c r="C169" t="inlineStr">
        <is>
          <t>Föryngringsavverkning</t>
        </is>
      </c>
      <c r="D169" s="1" t="n">
        <v>45876</v>
      </c>
      <c r="E169" s="1" t="n">
        <v>46222</v>
      </c>
      <c r="F169" t="inlineStr">
        <is>
          <t>ÖREBRO LÄN</t>
        </is>
      </c>
      <c r="G169" t="inlineStr">
        <is>
          <t>HALLSBERG</t>
        </is>
      </c>
      <c r="I169" t="n">
        <v>16.2</v>
      </c>
      <c r="J169" t="n">
        <v>0</v>
      </c>
      <c r="K169" t="n">
        <v>0</v>
      </c>
      <c r="L169" t="n">
        <v>0</v>
      </c>
      <c r="M169" t="n">
        <v>0</v>
      </c>
      <c r="N169" t="n">
        <v>0</v>
      </c>
      <c r="O169" t="n">
        <v>0</v>
      </c>
      <c r="P169" t="n">
        <v>0</v>
      </c>
      <c r="Q169" t="n">
        <v>0</v>
      </c>
      <c r="R169" t="n">
        <v>0</v>
      </c>
      <c r="S169" t="n">
        <v>0</v>
      </c>
      <c r="T169" t="n">
        <v>0</v>
      </c>
      <c r="U169" s="2" t="inlineStr"/>
    </row>
    <row r="170" ht="15" customHeight="1">
      <c r="A170" t="inlineStr">
        <is>
          <t>A 37698-2023</t>
        </is>
      </c>
      <c r="B170" t="inlineStr">
        <is>
          <t>avverkningsanmälan</t>
        </is>
      </c>
      <c r="C170" t="inlineStr">
        <is>
          <t>Föryngringsavverkning</t>
        </is>
      </c>
      <c r="D170" s="1" t="n">
        <v>45159</v>
      </c>
      <c r="E170" s="1" t="n">
        <v>46222</v>
      </c>
      <c r="F170" t="inlineStr">
        <is>
          <t>ÖREBRO LÄN</t>
        </is>
      </c>
      <c r="G170" t="inlineStr">
        <is>
          <t>HALLSBERG</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38008-2025</t>
        </is>
      </c>
      <c r="B171" t="inlineStr">
        <is>
          <t>avverkningsanmälan</t>
        </is>
      </c>
      <c r="C171" t="inlineStr">
        <is>
          <t>Föryngringsavverkning</t>
        </is>
      </c>
      <c r="D171" s="1" t="n">
        <v>45882</v>
      </c>
      <c r="E171" s="1" t="n">
        <v>46222</v>
      </c>
      <c r="F171" t="inlineStr">
        <is>
          <t>ÖREBRO LÄN</t>
        </is>
      </c>
      <c r="G171" t="inlineStr">
        <is>
          <t>HALLSBERG</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38179-2025</t>
        </is>
      </c>
      <c r="B172" t="inlineStr">
        <is>
          <t>avverkningsanmälan</t>
        </is>
      </c>
      <c r="C172" t="inlineStr">
        <is>
          <t>Föryngringsavverkning</t>
        </is>
      </c>
      <c r="D172" s="1" t="n">
        <v>45882</v>
      </c>
      <c r="E172" s="1" t="n">
        <v>46222</v>
      </c>
      <c r="F172" t="inlineStr">
        <is>
          <t>ÖREBRO LÄN</t>
        </is>
      </c>
      <c r="G172" t="inlineStr">
        <is>
          <t>HALLSBERG</t>
        </is>
      </c>
      <c r="I172" t="n">
        <v>8.4</v>
      </c>
      <c r="J172" t="n">
        <v>0</v>
      </c>
      <c r="K172" t="n">
        <v>0</v>
      </c>
      <c r="L172" t="n">
        <v>0</v>
      </c>
      <c r="M172" t="n">
        <v>0</v>
      </c>
      <c r="N172" t="n">
        <v>0</v>
      </c>
      <c r="O172" t="n">
        <v>0</v>
      </c>
      <c r="P172" t="n">
        <v>0</v>
      </c>
      <c r="Q172" t="n">
        <v>0</v>
      </c>
      <c r="R172" t="n">
        <v>0</v>
      </c>
      <c r="S172" t="n">
        <v>0</v>
      </c>
      <c r="T172" t="n">
        <v>0</v>
      </c>
      <c r="U172" s="2" t="inlineStr"/>
    </row>
    <row r="173" ht="15" customHeight="1">
      <c r="A173" t="inlineStr">
        <is>
          <t>A 34227-2022</t>
        </is>
      </c>
      <c r="B173" t="inlineStr">
        <is>
          <t>avverkningsanmälan</t>
        </is>
      </c>
      <c r="C173" t="inlineStr">
        <is>
          <t>Föryngringsavverkning</t>
        </is>
      </c>
      <c r="D173" s="1" t="n">
        <v>44791</v>
      </c>
      <c r="E173" s="1" t="n">
        <v>46222</v>
      </c>
      <c r="F173" t="inlineStr">
        <is>
          <t>ÖREBRO LÄN</t>
        </is>
      </c>
      <c r="G173" t="inlineStr">
        <is>
          <t>HALLSBERG</t>
        </is>
      </c>
      <c r="H173" t="inlineStr">
        <is>
          <t>Övriga Aktiebolag</t>
        </is>
      </c>
      <c r="I173" t="n">
        <v>3.4</v>
      </c>
      <c r="J173" t="n">
        <v>0</v>
      </c>
      <c r="K173" t="n">
        <v>0</v>
      </c>
      <c r="L173" t="n">
        <v>0</v>
      </c>
      <c r="M173" t="n">
        <v>0</v>
      </c>
      <c r="N173" t="n">
        <v>0</v>
      </c>
      <c r="O173" t="n">
        <v>0</v>
      </c>
      <c r="P173" t="n">
        <v>0</v>
      </c>
      <c r="Q173" t="n">
        <v>0</v>
      </c>
      <c r="R173" t="n">
        <v>0</v>
      </c>
      <c r="S173" t="n">
        <v>0</v>
      </c>
      <c r="T173" t="n">
        <v>0</v>
      </c>
      <c r="U173" s="2" t="inlineStr"/>
    </row>
    <row r="174" ht="15" customHeight="1">
      <c r="A174" t="inlineStr">
        <is>
          <t>A 50980-2025</t>
        </is>
      </c>
      <c r="B174" t="inlineStr">
        <is>
          <t>avverkningsanmälan</t>
        </is>
      </c>
      <c r="C174" t="inlineStr">
        <is>
          <t>Föryngringsavverkning</t>
        </is>
      </c>
      <c r="D174" s="1" t="n">
        <v>45947</v>
      </c>
      <c r="E174" s="1" t="n">
        <v>46222</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46602-2024</t>
        </is>
      </c>
      <c r="B175" t="inlineStr">
        <is>
          <t>avverkningsanmälan</t>
        </is>
      </c>
      <c r="C175" t="inlineStr">
        <is>
          <t>Föryngringsavverkning</t>
        </is>
      </c>
      <c r="D175" s="1" t="n">
        <v>45582</v>
      </c>
      <c r="E175" s="1" t="n">
        <v>46222</v>
      </c>
      <c r="F175" t="inlineStr">
        <is>
          <t>ÖREBRO LÄN</t>
        </is>
      </c>
      <c r="G175" t="inlineStr">
        <is>
          <t>HALLSBERG</t>
        </is>
      </c>
      <c r="I175" t="n">
        <v>3.6</v>
      </c>
      <c r="J175" t="n">
        <v>0</v>
      </c>
      <c r="K175" t="n">
        <v>0</v>
      </c>
      <c r="L175" t="n">
        <v>0</v>
      </c>
      <c r="M175" t="n">
        <v>0</v>
      </c>
      <c r="N175" t="n">
        <v>0</v>
      </c>
      <c r="O175" t="n">
        <v>0</v>
      </c>
      <c r="P175" t="n">
        <v>0</v>
      </c>
      <c r="Q175" t="n">
        <v>0</v>
      </c>
      <c r="R175" t="n">
        <v>0</v>
      </c>
      <c r="S175" t="n">
        <v>0</v>
      </c>
      <c r="T175" t="n">
        <v>0</v>
      </c>
      <c r="U175" s="2" t="inlineStr"/>
    </row>
    <row r="176" ht="15" customHeight="1">
      <c r="A176" t="inlineStr">
        <is>
          <t>A 51942-2025</t>
        </is>
      </c>
      <c r="B176" t="inlineStr">
        <is>
          <t>avverkningsanmälan</t>
        </is>
      </c>
      <c r="C176" t="inlineStr">
        <is>
          <t>Föryngringsavverkning</t>
        </is>
      </c>
      <c r="D176" s="1" t="n">
        <v>45952</v>
      </c>
      <c r="E176" s="1" t="n">
        <v>46222</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51920-2025</t>
        </is>
      </c>
      <c r="B177" t="inlineStr">
        <is>
          <t>avverkningsanmälan</t>
        </is>
      </c>
      <c r="C177" t="inlineStr">
        <is>
          <t>Föryngringsavverkning</t>
        </is>
      </c>
      <c r="D177" s="1" t="n">
        <v>45952</v>
      </c>
      <c r="E177" s="1" t="n">
        <v>46222</v>
      </c>
      <c r="F177" t="inlineStr">
        <is>
          <t>ÖREBRO LÄN</t>
        </is>
      </c>
      <c r="G177" t="inlineStr">
        <is>
          <t>HALLSBERG</t>
        </is>
      </c>
      <c r="H177" t="inlineStr">
        <is>
          <t>Sveaskog</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7992-2026</t>
        </is>
      </c>
      <c r="B178" t="inlineStr">
        <is>
          <t>avverkningsanmälan</t>
        </is>
      </c>
      <c r="C178" t="inlineStr">
        <is>
          <t>Föryngringsavverkning</t>
        </is>
      </c>
      <c r="D178" s="1" t="n">
        <v>46063</v>
      </c>
      <c r="E178" s="1" t="n">
        <v>46222</v>
      </c>
      <c r="F178" t="inlineStr">
        <is>
          <t>ÖREBRO LÄN</t>
        </is>
      </c>
      <c r="G178" t="inlineStr">
        <is>
          <t>HALLSBERG</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7991-2026</t>
        </is>
      </c>
      <c r="B179" t="inlineStr">
        <is>
          <t>avverkningsanmälan</t>
        </is>
      </c>
      <c r="C179" t="inlineStr">
        <is>
          <t>Föryngringsavverkning</t>
        </is>
      </c>
      <c r="D179" s="1" t="n">
        <v>46063</v>
      </c>
      <c r="E179" s="1" t="n">
        <v>46222</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52959-2025</t>
        </is>
      </c>
      <c r="B180" t="inlineStr">
        <is>
          <t>avverkningsanmälan</t>
        </is>
      </c>
      <c r="C180" t="inlineStr">
        <is>
          <t>Föryngringsavverkning</t>
        </is>
      </c>
      <c r="D180" s="1" t="n">
        <v>45956</v>
      </c>
      <c r="E180" s="1" t="n">
        <v>46222</v>
      </c>
      <c r="F180" t="inlineStr">
        <is>
          <t>ÖREBRO LÄN</t>
        </is>
      </c>
      <c r="G180" t="inlineStr">
        <is>
          <t>HALLSBERG</t>
        </is>
      </c>
      <c r="I180" t="n">
        <v>4</v>
      </c>
      <c r="J180" t="n">
        <v>0</v>
      </c>
      <c r="K180" t="n">
        <v>0</v>
      </c>
      <c r="L180" t="n">
        <v>0</v>
      </c>
      <c r="M180" t="n">
        <v>0</v>
      </c>
      <c r="N180" t="n">
        <v>0</v>
      </c>
      <c r="O180" t="n">
        <v>0</v>
      </c>
      <c r="P180" t="n">
        <v>0</v>
      </c>
      <c r="Q180" t="n">
        <v>0</v>
      </c>
      <c r="R180" t="n">
        <v>0</v>
      </c>
      <c r="S180" t="n">
        <v>0</v>
      </c>
      <c r="T180" t="n">
        <v>0</v>
      </c>
      <c r="U180" s="2" t="inlineStr"/>
    </row>
    <row r="181" ht="15" customHeight="1">
      <c r="A181" t="inlineStr">
        <is>
          <t>A 2910-2025</t>
        </is>
      </c>
      <c r="B181" t="inlineStr">
        <is>
          <t>avverkningsanmälan</t>
        </is>
      </c>
      <c r="C181" t="inlineStr">
        <is>
          <t>Föryngringsavverkning</t>
        </is>
      </c>
      <c r="D181" s="1" t="n">
        <v>45677</v>
      </c>
      <c r="E181" s="1" t="n">
        <v>46222</v>
      </c>
      <c r="F181" t="inlineStr">
        <is>
          <t>ÖREBRO LÄN</t>
        </is>
      </c>
      <c r="G181" t="inlineStr">
        <is>
          <t>HALLSBERG</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41886-2023</t>
        </is>
      </c>
      <c r="B182" t="inlineStr">
        <is>
          <t>avverkningsanmälan</t>
        </is>
      </c>
      <c r="C182" t="inlineStr">
        <is>
          <t>Föryngringsavverkning</t>
        </is>
      </c>
      <c r="D182" s="1" t="n">
        <v>45176</v>
      </c>
      <c r="E182" s="1" t="n">
        <v>46222</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24624-2023</t>
        </is>
      </c>
      <c r="B183" t="inlineStr">
        <is>
          <t>avverkningsanmälan</t>
        </is>
      </c>
      <c r="C183" t="inlineStr">
        <is>
          <t>Föryngringsavverkning</t>
        </is>
      </c>
      <c r="D183" s="1" t="n">
        <v>45084</v>
      </c>
      <c r="E183" s="1" t="n">
        <v>46222</v>
      </c>
      <c r="F183" t="inlineStr">
        <is>
          <t>ÖREBRO LÄN</t>
        </is>
      </c>
      <c r="G183" t="inlineStr">
        <is>
          <t>HALLSBERG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4443-2025</t>
        </is>
      </c>
      <c r="B184" t="inlineStr">
        <is>
          <t>avverkningsanmälan</t>
        </is>
      </c>
      <c r="C184" t="inlineStr">
        <is>
          <t>Föryngringsavverkning</t>
        </is>
      </c>
      <c r="D184" s="1" t="n">
        <v>45686</v>
      </c>
      <c r="E184" s="1" t="n">
        <v>46222</v>
      </c>
      <c r="F184" t="inlineStr">
        <is>
          <t>ÖREBRO LÄN</t>
        </is>
      </c>
      <c r="G184" t="inlineStr">
        <is>
          <t>HALLSBERG</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56890-2025</t>
        </is>
      </c>
      <c r="B185" t="inlineStr">
        <is>
          <t>avverkningsanmälan</t>
        </is>
      </c>
      <c r="C185" t="inlineStr">
        <is>
          <t>Avverkning för att bevara och utveckla /försöksver</t>
        </is>
      </c>
      <c r="D185" s="1" t="n">
        <v>45978</v>
      </c>
      <c r="E185" s="1" t="n">
        <v>46222</v>
      </c>
      <c r="F185" t="inlineStr">
        <is>
          <t>ÖREBRO LÄN</t>
        </is>
      </c>
      <c r="G185" t="inlineStr">
        <is>
          <t>HALLSBERG</t>
        </is>
      </c>
      <c r="H185" t="inlineStr">
        <is>
          <t>Sveaskog</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40887-2023</t>
        </is>
      </c>
      <c r="B186" t="inlineStr">
        <is>
          <t>avverkningsanmälan</t>
        </is>
      </c>
      <c r="C186" t="inlineStr">
        <is>
          <t>Föryngringsavverkning</t>
        </is>
      </c>
      <c r="D186" s="1" t="n">
        <v>45173</v>
      </c>
      <c r="E186" s="1" t="n">
        <v>46222</v>
      </c>
      <c r="F186" t="inlineStr">
        <is>
          <t>ÖREBRO LÄN</t>
        </is>
      </c>
      <c r="G186" t="inlineStr">
        <is>
          <t>HALLSBERG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57766-2025</t>
        </is>
      </c>
      <c r="B187" t="inlineStr">
        <is>
          <t>avverkningsanmälan</t>
        </is>
      </c>
      <c r="C187" t="inlineStr">
        <is>
          <t>Föryngringsavverkning</t>
        </is>
      </c>
      <c r="D187" s="1" t="n">
        <v>45981</v>
      </c>
      <c r="E187" s="1" t="n">
        <v>46222</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8252-2022</t>
        </is>
      </c>
      <c r="B188" t="inlineStr">
        <is>
          <t>avverkningsanmälan</t>
        </is>
      </c>
      <c r="C188" t="inlineStr">
        <is>
          <t>Föryngringsavverkning</t>
        </is>
      </c>
      <c r="D188" s="1" t="n">
        <v>44610</v>
      </c>
      <c r="E188" s="1" t="n">
        <v>46222</v>
      </c>
      <c r="F188" t="inlineStr">
        <is>
          <t>ÖREBRO LÄN</t>
        </is>
      </c>
      <c r="G188" t="inlineStr">
        <is>
          <t>HALLSBERG</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61448-2022</t>
        </is>
      </c>
      <c r="B189" t="inlineStr">
        <is>
          <t>avverkningsanmälan</t>
        </is>
      </c>
      <c r="C189" t="inlineStr">
        <is>
          <t>Avverkning för annat ändamål</t>
        </is>
      </c>
      <c r="D189" s="1" t="n">
        <v>44916</v>
      </c>
      <c r="E189" s="1" t="n">
        <v>46222</v>
      </c>
      <c r="F189" t="inlineStr">
        <is>
          <t>ÖREBRO LÄN</t>
        </is>
      </c>
      <c r="G189" t="inlineStr">
        <is>
          <t>HALLSBERG</t>
        </is>
      </c>
      <c r="H189" t="inlineStr">
        <is>
          <t>Kommuner</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59861-2025</t>
        </is>
      </c>
      <c r="B190" t="inlineStr">
        <is>
          <t>avverkningsanmälan</t>
        </is>
      </c>
      <c r="C190" t="inlineStr">
        <is>
          <t>Föryngringsavverkning</t>
        </is>
      </c>
      <c r="D190" s="1" t="n">
        <v>45992</v>
      </c>
      <c r="E190" s="1" t="n">
        <v>46222</v>
      </c>
      <c r="F190" t="inlineStr">
        <is>
          <t>ÖREBRO LÄN</t>
        </is>
      </c>
      <c r="G190" t="inlineStr">
        <is>
          <t>HALLSBERG</t>
        </is>
      </c>
      <c r="H190" t="inlineStr">
        <is>
          <t>Kommuner</t>
        </is>
      </c>
      <c r="I190" t="n">
        <v>2.2</v>
      </c>
      <c r="J190" t="n">
        <v>0</v>
      </c>
      <c r="K190" t="n">
        <v>0</v>
      </c>
      <c r="L190" t="n">
        <v>0</v>
      </c>
      <c r="M190" t="n">
        <v>0</v>
      </c>
      <c r="N190" t="n">
        <v>0</v>
      </c>
      <c r="O190" t="n">
        <v>0</v>
      </c>
      <c r="P190" t="n">
        <v>0</v>
      </c>
      <c r="Q190" t="n">
        <v>0</v>
      </c>
      <c r="R190" t="n">
        <v>0</v>
      </c>
      <c r="S190" t="n">
        <v>0</v>
      </c>
      <c r="T190" t="n">
        <v>0</v>
      </c>
      <c r="U190" s="2" t="inlineStr"/>
    </row>
    <row r="191" ht="15" customHeight="1">
      <c r="A191" t="inlineStr">
        <is>
          <t>A 60558-2025</t>
        </is>
      </c>
      <c r="B191" t="inlineStr">
        <is>
          <t>avverkningsanmälan</t>
        </is>
      </c>
      <c r="C191" t="inlineStr">
        <is>
          <t>Föryngringsavverkning</t>
        </is>
      </c>
      <c r="D191" s="1" t="n">
        <v>45995</v>
      </c>
      <c r="E191" s="1" t="n">
        <v>46222</v>
      </c>
      <c r="F191" t="inlineStr">
        <is>
          <t>ÖREBRO LÄN</t>
        </is>
      </c>
      <c r="G191" t="inlineStr">
        <is>
          <t>HALLSBERG</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61057-2023</t>
        </is>
      </c>
      <c r="B192" t="inlineStr">
        <is>
          <t>avverkningsanmälan</t>
        </is>
      </c>
      <c r="C192" t="inlineStr">
        <is>
          <t>Föryngringsavverkning</t>
        </is>
      </c>
      <c r="D192" s="1" t="n">
        <v>45261</v>
      </c>
      <c r="E192" s="1" t="n">
        <v>46222</v>
      </c>
      <c r="F192" t="inlineStr">
        <is>
          <t>ÖREBRO LÄN</t>
        </is>
      </c>
      <c r="G192" t="inlineStr">
        <is>
          <t>HALLSBERG</t>
        </is>
      </c>
      <c r="H192" t="inlineStr">
        <is>
          <t>Sveaskog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61058-2023</t>
        </is>
      </c>
      <c r="B193" t="inlineStr">
        <is>
          <t>avverkningsanmälan</t>
        </is>
      </c>
      <c r="C193" t="inlineStr">
        <is>
          <t>Föryngringsavverkning</t>
        </is>
      </c>
      <c r="D193" s="1" t="n">
        <v>45261</v>
      </c>
      <c r="E193" s="1" t="n">
        <v>46222</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13977-2026</t>
        </is>
      </c>
      <c r="B194" t="inlineStr">
        <is>
          <t>avverkningsanmälan</t>
        </is>
      </c>
      <c r="C194" t="inlineStr">
        <is>
          <t>Föryngringsavverkning</t>
        </is>
      </c>
      <c r="D194" s="1" t="n">
        <v>46098</v>
      </c>
      <c r="E194" s="1" t="n">
        <v>46222</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69230-2021</t>
        </is>
      </c>
      <c r="B195" t="inlineStr">
        <is>
          <t>avverkningsanmälan</t>
        </is>
      </c>
      <c r="C195" t="inlineStr">
        <is>
          <t>Avverkning för annat ändamål</t>
        </is>
      </c>
      <c r="D195" s="1" t="n">
        <v>44531</v>
      </c>
      <c r="E195" s="1" t="n">
        <v>46222</v>
      </c>
      <c r="F195" t="inlineStr">
        <is>
          <t>ÖREBRO LÄN</t>
        </is>
      </c>
      <c r="G195" t="inlineStr">
        <is>
          <t>HALLSBERG</t>
        </is>
      </c>
      <c r="H195" t="inlineStr">
        <is>
          <t>Kommuner</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59176-2021</t>
        </is>
      </c>
      <c r="B196" t="inlineStr">
        <is>
          <t>avverkningsanmälan</t>
        </is>
      </c>
      <c r="C196" t="inlineStr">
        <is>
          <t>Föryngringsavverkning</t>
        </is>
      </c>
      <c r="D196" s="1" t="n">
        <v>44490</v>
      </c>
      <c r="E196" s="1" t="n">
        <v>46222</v>
      </c>
      <c r="F196" t="inlineStr">
        <is>
          <t>ÖREBRO LÄN</t>
        </is>
      </c>
      <c r="G196" t="inlineStr">
        <is>
          <t>HALLSBERG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33252-2024</t>
        </is>
      </c>
      <c r="B197" t="inlineStr">
        <is>
          <t>avverkningsanmälan</t>
        </is>
      </c>
      <c r="C197" t="inlineStr">
        <is>
          <t>Föryngringsavverkning</t>
        </is>
      </c>
      <c r="D197" s="1" t="n">
        <v>45518</v>
      </c>
      <c r="E197" s="1" t="n">
        <v>46222</v>
      </c>
      <c r="F197" t="inlineStr">
        <is>
          <t>ÖREBRO LÄN</t>
        </is>
      </c>
      <c r="G197" t="inlineStr">
        <is>
          <t>HALLSBERG</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60685-2021</t>
        </is>
      </c>
      <c r="B198" t="inlineStr">
        <is>
          <t>avverkningsanmälan</t>
        </is>
      </c>
      <c r="C198" t="inlineStr">
        <is>
          <t>Föryngringsavverkning</t>
        </is>
      </c>
      <c r="D198" s="1" t="n">
        <v>44496</v>
      </c>
      <c r="E198" s="1" t="n">
        <v>46222</v>
      </c>
      <c r="F198" t="inlineStr">
        <is>
          <t>ÖREBRO LÄN</t>
        </is>
      </c>
      <c r="G198" t="inlineStr">
        <is>
          <t>HALLSBERG</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6763-2024</t>
        </is>
      </c>
      <c r="B199" t="inlineStr">
        <is>
          <t>avverkningsanmälan</t>
        </is>
      </c>
      <c r="C199" t="inlineStr">
        <is>
          <t>Föryngringsavverkning</t>
        </is>
      </c>
      <c r="D199" s="1" t="n">
        <v>45342</v>
      </c>
      <c r="E199" s="1" t="n">
        <v>46222</v>
      </c>
      <c r="F199" t="inlineStr">
        <is>
          <t>ÖREBRO LÄN</t>
        </is>
      </c>
      <c r="G199" t="inlineStr">
        <is>
          <t>HALLSBERG</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28537-2024</t>
        </is>
      </c>
      <c r="B200" t="inlineStr">
        <is>
          <t>avverkningsanmälan</t>
        </is>
      </c>
      <c r="C200" t="inlineStr">
        <is>
          <t>Avverkning för att bevara och utveckla /försöksver</t>
        </is>
      </c>
      <c r="D200" s="1" t="n">
        <v>45478</v>
      </c>
      <c r="E200" s="1" t="n">
        <v>46222</v>
      </c>
      <c r="F200" t="inlineStr">
        <is>
          <t>ÖREBRO LÄN</t>
        </is>
      </c>
      <c r="G200" t="inlineStr">
        <is>
          <t>HALLSBERG</t>
        </is>
      </c>
      <c r="H200" t="inlineStr">
        <is>
          <t>Sveaskog</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14676-2024</t>
        </is>
      </c>
      <c r="B201" t="inlineStr">
        <is>
          <t>avverkningsanmälan</t>
        </is>
      </c>
      <c r="C201" t="inlineStr">
        <is>
          <t>Föryngringsavverkning</t>
        </is>
      </c>
      <c r="D201" s="1" t="n">
        <v>45397</v>
      </c>
      <c r="E201" s="1" t="n">
        <v>46222</v>
      </c>
      <c r="F201" t="inlineStr">
        <is>
          <t>ÖREBRO LÄN</t>
        </is>
      </c>
      <c r="G201" t="inlineStr">
        <is>
          <t>HALLSBERG</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A 9663-2023</t>
        </is>
      </c>
      <c r="B202" t="inlineStr">
        <is>
          <t>avverkningsanmälan</t>
        </is>
      </c>
      <c r="C202" t="inlineStr">
        <is>
          <t>Föryngringsavverkning</t>
        </is>
      </c>
      <c r="D202" s="1" t="n">
        <v>44978</v>
      </c>
      <c r="E202" s="1" t="n">
        <v>46222</v>
      </c>
      <c r="F202" t="inlineStr">
        <is>
          <t>ÖREBRO LÄN</t>
        </is>
      </c>
      <c r="G202" t="inlineStr">
        <is>
          <t>HALLSBERG</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37451-2023</t>
        </is>
      </c>
      <c r="B203" t="inlineStr">
        <is>
          <t>avverkningsanmälan</t>
        </is>
      </c>
      <c r="C203" t="inlineStr">
        <is>
          <t>Avverkning för att bevara och utveckla /försöksver</t>
        </is>
      </c>
      <c r="D203" s="1" t="n">
        <v>45156</v>
      </c>
      <c r="E203" s="1" t="n">
        <v>46222</v>
      </c>
      <c r="F203" t="inlineStr">
        <is>
          <t>ÖREBRO LÄN</t>
        </is>
      </c>
      <c r="G203" t="inlineStr">
        <is>
          <t>HALLSBERG</t>
        </is>
      </c>
      <c r="H203" t="inlineStr">
        <is>
          <t>Sveaskog</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24629-2023</t>
        </is>
      </c>
      <c r="B204" t="inlineStr">
        <is>
          <t>avverkningsanmälan</t>
        </is>
      </c>
      <c r="C204" t="inlineStr">
        <is>
          <t>Föryngringsavverkning</t>
        </is>
      </c>
      <c r="D204" s="1" t="n">
        <v>45084</v>
      </c>
      <c r="E204" s="1" t="n">
        <v>46222</v>
      </c>
      <c r="F204" t="inlineStr">
        <is>
          <t>ÖREBRO LÄN</t>
        </is>
      </c>
      <c r="G204" t="inlineStr">
        <is>
          <t>HALLSBERG</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46792-2023</t>
        </is>
      </c>
      <c r="B205" t="inlineStr">
        <is>
          <t>avverkningsanmälan</t>
        </is>
      </c>
      <c r="C205" t="inlineStr">
        <is>
          <t>Föryngringsavverkning</t>
        </is>
      </c>
      <c r="D205" s="1" t="n">
        <v>45198</v>
      </c>
      <c r="E205" s="1" t="n">
        <v>46222</v>
      </c>
      <c r="F205" t="inlineStr">
        <is>
          <t>ÖREBRO LÄN</t>
        </is>
      </c>
      <c r="G205" t="inlineStr">
        <is>
          <t>HALLSBERG</t>
        </is>
      </c>
      <c r="H205" t="inlineStr">
        <is>
          <t>Allmännings- och besparingsskogar</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56272-2023</t>
        </is>
      </c>
      <c r="B206" t="inlineStr">
        <is>
          <t>avverkningsanmälan</t>
        </is>
      </c>
      <c r="C206" t="inlineStr">
        <is>
          <t>Föryngringsavverkning</t>
        </is>
      </c>
      <c r="D206" s="1" t="n">
        <v>45241</v>
      </c>
      <c r="E206" s="1" t="n">
        <v>46222</v>
      </c>
      <c r="F206" t="inlineStr">
        <is>
          <t>ÖREBRO LÄN</t>
        </is>
      </c>
      <c r="G206" t="inlineStr">
        <is>
          <t>HALLSBERG</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18556-2024</t>
        </is>
      </c>
      <c r="B207" t="inlineStr">
        <is>
          <t>avverkningsanmälan</t>
        </is>
      </c>
      <c r="C207" t="inlineStr">
        <is>
          <t>Avverkning för att bevara och utveckla /försöksver</t>
        </is>
      </c>
      <c r="D207" s="1" t="n">
        <v>45425</v>
      </c>
      <c r="E207" s="1" t="n">
        <v>46222</v>
      </c>
      <c r="F207" t="inlineStr">
        <is>
          <t>ÖREBRO LÄN</t>
        </is>
      </c>
      <c r="G207" t="inlineStr">
        <is>
          <t>HALLSBERG</t>
        </is>
      </c>
      <c r="H207" t="inlineStr">
        <is>
          <t>Sveaskog</t>
        </is>
      </c>
      <c r="I207" t="n">
        <v>3.8</v>
      </c>
      <c r="J207" t="n">
        <v>0</v>
      </c>
      <c r="K207" t="n">
        <v>0</v>
      </c>
      <c r="L207" t="n">
        <v>0</v>
      </c>
      <c r="M207" t="n">
        <v>0</v>
      </c>
      <c r="N207" t="n">
        <v>0</v>
      </c>
      <c r="O207" t="n">
        <v>0</v>
      </c>
      <c r="P207" t="n">
        <v>0</v>
      </c>
      <c r="Q207" t="n">
        <v>0</v>
      </c>
      <c r="R207" t="n">
        <v>0</v>
      </c>
      <c r="S207" t="n">
        <v>0</v>
      </c>
      <c r="T207" t="n">
        <v>0</v>
      </c>
      <c r="U207" s="2" t="inlineStr"/>
    </row>
    <row r="208" ht="15" customHeight="1">
      <c r="A208" t="inlineStr">
        <is>
          <t>A 69607-2021</t>
        </is>
      </c>
      <c r="B208" t="inlineStr">
        <is>
          <t>avverkningsanmälan</t>
        </is>
      </c>
      <c r="C208" t="inlineStr">
        <is>
          <t>Föryngringsavverkning</t>
        </is>
      </c>
      <c r="D208" s="1" t="n">
        <v>44532</v>
      </c>
      <c r="E208" s="1" t="n">
        <v>46222</v>
      </c>
      <c r="F208" t="inlineStr">
        <is>
          <t>ÖREBRO LÄN</t>
        </is>
      </c>
      <c r="G208" t="inlineStr">
        <is>
          <t>HALLSBERG</t>
        </is>
      </c>
      <c r="H208" t="inlineStr">
        <is>
          <t>Kommuner</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64419-2023</t>
        </is>
      </c>
      <c r="B209" t="inlineStr">
        <is>
          <t>avverkningsanmälan</t>
        </is>
      </c>
      <c r="C209" t="inlineStr">
        <is>
          <t>Föryngringsavverkning</t>
        </is>
      </c>
      <c r="D209" s="1" t="n">
        <v>45280</v>
      </c>
      <c r="E209" s="1" t="n">
        <v>46222</v>
      </c>
      <c r="F209" t="inlineStr">
        <is>
          <t>ÖREBRO LÄN</t>
        </is>
      </c>
      <c r="G209" t="inlineStr">
        <is>
          <t>HALLSBERG</t>
        </is>
      </c>
      <c r="H209" t="inlineStr">
        <is>
          <t>Sveaskog</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40551-2023</t>
        </is>
      </c>
      <c r="B210" t="inlineStr">
        <is>
          <t>avverkningsanmälan</t>
        </is>
      </c>
      <c r="C210" t="inlineStr">
        <is>
          <t>Föryngringsavverkning</t>
        </is>
      </c>
      <c r="D210" s="1" t="n">
        <v>45170</v>
      </c>
      <c r="E210" s="1" t="n">
        <v>46222</v>
      </c>
      <c r="F210" t="inlineStr">
        <is>
          <t>ÖREBRO LÄN</t>
        </is>
      </c>
      <c r="G210" t="inlineStr">
        <is>
          <t>HALLSBERG</t>
        </is>
      </c>
      <c r="I210" t="n">
        <v>3</v>
      </c>
      <c r="J210" t="n">
        <v>0</v>
      </c>
      <c r="K210" t="n">
        <v>0</v>
      </c>
      <c r="L210" t="n">
        <v>0</v>
      </c>
      <c r="M210" t="n">
        <v>0</v>
      </c>
      <c r="N210" t="n">
        <v>0</v>
      </c>
      <c r="O210" t="n">
        <v>0</v>
      </c>
      <c r="P210" t="n">
        <v>0</v>
      </c>
      <c r="Q210" t="n">
        <v>0</v>
      </c>
      <c r="R210" t="n">
        <v>0</v>
      </c>
      <c r="S210" t="n">
        <v>0</v>
      </c>
      <c r="T210" t="n">
        <v>0</v>
      </c>
      <c r="U210" s="2" t="inlineStr"/>
    </row>
    <row r="211" ht="15" customHeight="1">
      <c r="A211" t="inlineStr">
        <is>
          <t>A 38344-2024</t>
        </is>
      </c>
      <c r="B211" t="inlineStr">
        <is>
          <t>avverkningsanmälan</t>
        </is>
      </c>
      <c r="C211" t="inlineStr">
        <is>
          <t>Föryngringsavverkning</t>
        </is>
      </c>
      <c r="D211" s="1" t="n">
        <v>45545</v>
      </c>
      <c r="E211" s="1" t="n">
        <v>46222</v>
      </c>
      <c r="F211" t="inlineStr">
        <is>
          <t>ÖREBRO LÄN</t>
        </is>
      </c>
      <c r="G211" t="inlineStr">
        <is>
          <t>HALLSBERG</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37717-2025</t>
        </is>
      </c>
      <c r="B212" t="inlineStr">
        <is>
          <t>avverkningsanmälan</t>
        </is>
      </c>
      <c r="C212" t="inlineStr">
        <is>
          <t>Föryngringsavverkning</t>
        </is>
      </c>
      <c r="D212" s="1" t="n">
        <v>45880</v>
      </c>
      <c r="E212" s="1" t="n">
        <v>46222</v>
      </c>
      <c r="F212" t="inlineStr">
        <is>
          <t>ÖREBRO LÄN</t>
        </is>
      </c>
      <c r="G212" t="inlineStr">
        <is>
          <t>HALLSBERG</t>
        </is>
      </c>
      <c r="H212" t="inlineStr">
        <is>
          <t>Sveaskog</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33097-2023</t>
        </is>
      </c>
      <c r="B213" t="inlineStr">
        <is>
          <t>avverkningsanmälan</t>
        </is>
      </c>
      <c r="C213" t="inlineStr">
        <is>
          <t>Avverkning för att bevara och utveckla /försöksver</t>
        </is>
      </c>
      <c r="D213" s="1" t="n">
        <v>45126</v>
      </c>
      <c r="E213" s="1" t="n">
        <v>46222</v>
      </c>
      <c r="F213" t="inlineStr">
        <is>
          <t>ÖREBRO LÄN</t>
        </is>
      </c>
      <c r="G213" t="inlineStr">
        <is>
          <t>HALLSBERG</t>
        </is>
      </c>
      <c r="H213" t="inlineStr">
        <is>
          <t>Sveaskog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54075-2024</t>
        </is>
      </c>
      <c r="B214" t="inlineStr">
        <is>
          <t>avverkningsanmälan</t>
        </is>
      </c>
      <c r="C214" t="inlineStr">
        <is>
          <t>Föryngringsavverkning</t>
        </is>
      </c>
      <c r="D214" s="1" t="n">
        <v>45616</v>
      </c>
      <c r="E214" s="1" t="n">
        <v>46222</v>
      </c>
      <c r="F214" t="inlineStr">
        <is>
          <t>ÖREBRO LÄN</t>
        </is>
      </c>
      <c r="G214" t="inlineStr">
        <is>
          <t>HALLSBERG</t>
        </is>
      </c>
      <c r="I214" t="n">
        <v>7.7</v>
      </c>
      <c r="J214" t="n">
        <v>0</v>
      </c>
      <c r="K214" t="n">
        <v>0</v>
      </c>
      <c r="L214" t="n">
        <v>0</v>
      </c>
      <c r="M214" t="n">
        <v>0</v>
      </c>
      <c r="N214" t="n">
        <v>0</v>
      </c>
      <c r="O214" t="n">
        <v>0</v>
      </c>
      <c r="P214" t="n">
        <v>0</v>
      </c>
      <c r="Q214" t="n">
        <v>0</v>
      </c>
      <c r="R214" t="n">
        <v>0</v>
      </c>
      <c r="S214" t="n">
        <v>0</v>
      </c>
      <c r="T214" t="n">
        <v>0</v>
      </c>
      <c r="U214" s="2" t="inlineStr"/>
    </row>
    <row r="215" ht="15" customHeight="1">
      <c r="A215" t="inlineStr">
        <is>
          <t>A 38010-2023</t>
        </is>
      </c>
      <c r="B215" t="inlineStr">
        <is>
          <t>avverkningsanmälan</t>
        </is>
      </c>
      <c r="C215" t="inlineStr">
        <is>
          <t>Föryngringsavverkning</t>
        </is>
      </c>
      <c r="D215" s="1" t="n">
        <v>45160</v>
      </c>
      <c r="E215" s="1" t="n">
        <v>46222</v>
      </c>
      <c r="F215" t="inlineStr">
        <is>
          <t>ÖREBRO LÄN</t>
        </is>
      </c>
      <c r="G215" t="inlineStr">
        <is>
          <t>HALLSBERG</t>
        </is>
      </c>
      <c r="I215" t="n">
        <v>9.199999999999999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70160-2021</t>
        </is>
      </c>
      <c r="B216" t="inlineStr">
        <is>
          <t>avverkningsanmälan</t>
        </is>
      </c>
      <c r="C216" t="inlineStr">
        <is>
          <t>Föryngringsavverkning</t>
        </is>
      </c>
      <c r="D216" s="1" t="n">
        <v>44533</v>
      </c>
      <c r="E216" s="1" t="n">
        <v>46222</v>
      </c>
      <c r="F216" t="inlineStr">
        <is>
          <t>ÖREBRO LÄN</t>
        </is>
      </c>
      <c r="G216" t="inlineStr">
        <is>
          <t>HALLSBERG</t>
        </is>
      </c>
      <c r="H216" t="inlineStr">
        <is>
          <t>Allmännings- och besparingsskogar</t>
        </is>
      </c>
      <c r="I216" t="n">
        <v>14.7</v>
      </c>
      <c r="J216" t="n">
        <v>0</v>
      </c>
      <c r="K216" t="n">
        <v>0</v>
      </c>
      <c r="L216" t="n">
        <v>0</v>
      </c>
      <c r="M216" t="n">
        <v>0</v>
      </c>
      <c r="N216" t="n">
        <v>0</v>
      </c>
      <c r="O216" t="n">
        <v>0</v>
      </c>
      <c r="P216" t="n">
        <v>0</v>
      </c>
      <c r="Q216" t="n">
        <v>0</v>
      </c>
      <c r="R216" t="n">
        <v>0</v>
      </c>
      <c r="S216" t="n">
        <v>0</v>
      </c>
      <c r="T216" t="n">
        <v>0</v>
      </c>
      <c r="U216" s="2" t="inlineStr"/>
    </row>
    <row r="217" ht="15" customHeight="1">
      <c r="A217" t="inlineStr">
        <is>
          <t>A 50237-2024</t>
        </is>
      </c>
      <c r="B217" t="inlineStr">
        <is>
          <t>avverkningsanmälan</t>
        </is>
      </c>
      <c r="C217" t="inlineStr">
        <is>
          <t>Avverkning för att bevara och utveckla /försöksver</t>
        </is>
      </c>
      <c r="D217" s="1" t="n">
        <v>45600</v>
      </c>
      <c r="E217" s="1" t="n">
        <v>46222</v>
      </c>
      <c r="F217" t="inlineStr">
        <is>
          <t>ÖREBRO LÄN</t>
        </is>
      </c>
      <c r="G217" t="inlineStr">
        <is>
          <t>HALLSBERG</t>
        </is>
      </c>
      <c r="H217" t="inlineStr">
        <is>
          <t>Sveaskog</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37718-2025</t>
        </is>
      </c>
      <c r="B218" t="inlineStr">
        <is>
          <t>avverkningsanmälan</t>
        </is>
      </c>
      <c r="C218" t="inlineStr">
        <is>
          <t>Föryngringsavverkning</t>
        </is>
      </c>
      <c r="D218" s="1" t="n">
        <v>45880</v>
      </c>
      <c r="E218" s="1" t="n">
        <v>46222</v>
      </c>
      <c r="F218" t="inlineStr">
        <is>
          <t>ÖREBRO LÄN</t>
        </is>
      </c>
      <c r="G218" t="inlineStr">
        <is>
          <t>HALLSBERG</t>
        </is>
      </c>
      <c r="H218" t="inlineStr">
        <is>
          <t>Sveaskog</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18512-2022</t>
        </is>
      </c>
      <c r="B219" t="inlineStr">
        <is>
          <t>avverkningsanmälan</t>
        </is>
      </c>
      <c r="C219" t="inlineStr">
        <is>
          <t>Föryngringsavverkning</t>
        </is>
      </c>
      <c r="D219" s="1" t="n">
        <v>44686</v>
      </c>
      <c r="E219" s="1" t="n">
        <v>46222</v>
      </c>
      <c r="F219" t="inlineStr">
        <is>
          <t>ÖREBRO LÄN</t>
        </is>
      </c>
      <c r="G219" t="inlineStr">
        <is>
          <t>HALLSBERG</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16085-2022</t>
        </is>
      </c>
      <c r="B220" t="inlineStr">
        <is>
          <t>avverkningsanmälan</t>
        </is>
      </c>
      <c r="C220" t="inlineStr">
        <is>
          <t>Föryngringsavverkning</t>
        </is>
      </c>
      <c r="D220" s="1" t="n">
        <v>44665</v>
      </c>
      <c r="E220" s="1" t="n">
        <v>46222</v>
      </c>
      <c r="F220" t="inlineStr">
        <is>
          <t>ÖREBRO LÄN</t>
        </is>
      </c>
      <c r="G220" t="inlineStr">
        <is>
          <t>HALLSBERG</t>
        </is>
      </c>
      <c r="I220" t="n">
        <v>5.1</v>
      </c>
      <c r="J220" t="n">
        <v>0</v>
      </c>
      <c r="K220" t="n">
        <v>0</v>
      </c>
      <c r="L220" t="n">
        <v>0</v>
      </c>
      <c r="M220" t="n">
        <v>0</v>
      </c>
      <c r="N220" t="n">
        <v>0</v>
      </c>
      <c r="O220" t="n">
        <v>0</v>
      </c>
      <c r="P220" t="n">
        <v>0</v>
      </c>
      <c r="Q220" t="n">
        <v>0</v>
      </c>
      <c r="R220" t="n">
        <v>0</v>
      </c>
      <c r="S220" t="n">
        <v>0</v>
      </c>
      <c r="T220" t="n">
        <v>0</v>
      </c>
      <c r="U220" s="2" t="inlineStr"/>
    </row>
    <row r="221" ht="15" customHeight="1">
      <c r="A221" t="inlineStr">
        <is>
          <t>A 38831-2022</t>
        </is>
      </c>
      <c r="B221" t="inlineStr">
        <is>
          <t>avverkningsanmälan</t>
        </is>
      </c>
      <c r="C221" t="inlineStr">
        <is>
          <t>Föryngringsavverkning</t>
        </is>
      </c>
      <c r="D221" s="1" t="n">
        <v>44814</v>
      </c>
      <c r="E221" s="1" t="n">
        <v>46222</v>
      </c>
      <c r="F221" t="inlineStr">
        <is>
          <t>ÖREBRO LÄN</t>
        </is>
      </c>
      <c r="G221" t="inlineStr">
        <is>
          <t>HALLSBERG</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37321-2025</t>
        </is>
      </c>
      <c r="B222" t="inlineStr">
        <is>
          <t>avverkningsanmälan</t>
        </is>
      </c>
      <c r="C222" t="inlineStr">
        <is>
          <t>Föryngringsavverkning</t>
        </is>
      </c>
      <c r="D222" s="1" t="n">
        <v>45876</v>
      </c>
      <c r="E222" s="1" t="n">
        <v>46222</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11358-2025</t>
        </is>
      </c>
      <c r="B223" t="inlineStr">
        <is>
          <t>avverkningsanmälan</t>
        </is>
      </c>
      <c r="C223" t="inlineStr">
        <is>
          <t>Föryngringsavverkning</t>
        </is>
      </c>
      <c r="D223" s="1" t="n">
        <v>45726</v>
      </c>
      <c r="E223" s="1" t="n">
        <v>46222</v>
      </c>
      <c r="F223" t="inlineStr">
        <is>
          <t>ÖREBRO LÄN</t>
        </is>
      </c>
      <c r="G223" t="inlineStr">
        <is>
          <t>HALLSBERG</t>
        </is>
      </c>
      <c r="H223" t="inlineStr">
        <is>
          <t>Sveaskog</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24416-2023</t>
        </is>
      </c>
      <c r="B224" t="inlineStr">
        <is>
          <t>avverkningsanmälan</t>
        </is>
      </c>
      <c r="C224" t="inlineStr">
        <is>
          <t>Föryngringsavverkning</t>
        </is>
      </c>
      <c r="D224" s="1" t="n">
        <v>45082</v>
      </c>
      <c r="E224" s="1" t="n">
        <v>46222</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40065-2025</t>
        </is>
      </c>
      <c r="B225" t="inlineStr">
        <is>
          <t>avverkningsanmälan</t>
        </is>
      </c>
      <c r="C225" t="inlineStr">
        <is>
          <t>Föryngringsavverkning</t>
        </is>
      </c>
      <c r="D225" s="1" t="n">
        <v>45894</v>
      </c>
      <c r="E225" s="1" t="n">
        <v>46222</v>
      </c>
      <c r="F225" t="inlineStr">
        <is>
          <t>ÖREBRO LÄN</t>
        </is>
      </c>
      <c r="G225" t="inlineStr">
        <is>
          <t>HALLSBERG</t>
        </is>
      </c>
      <c r="H225" t="inlineStr">
        <is>
          <t>Sveaskog</t>
        </is>
      </c>
      <c r="I225" t="n">
        <v>3.8</v>
      </c>
      <c r="J225" t="n">
        <v>0</v>
      </c>
      <c r="K225" t="n">
        <v>0</v>
      </c>
      <c r="L225" t="n">
        <v>0</v>
      </c>
      <c r="M225" t="n">
        <v>0</v>
      </c>
      <c r="N225" t="n">
        <v>0</v>
      </c>
      <c r="O225" t="n">
        <v>0</v>
      </c>
      <c r="P225" t="n">
        <v>0</v>
      </c>
      <c r="Q225" t="n">
        <v>0</v>
      </c>
      <c r="R225" t="n">
        <v>0</v>
      </c>
      <c r="S225" t="n">
        <v>0</v>
      </c>
      <c r="T225" t="n">
        <v>0</v>
      </c>
      <c r="U225" s="2" t="inlineStr"/>
    </row>
    <row r="226" ht="15" customHeight="1">
      <c r="A226" t="inlineStr">
        <is>
          <t>A 49684-2022</t>
        </is>
      </c>
      <c r="B226" t="inlineStr">
        <is>
          <t>avverkningsanmälan</t>
        </is>
      </c>
      <c r="C226" t="inlineStr">
        <is>
          <t>Föryngringsavverkning</t>
        </is>
      </c>
      <c r="D226" s="1" t="n">
        <v>44862</v>
      </c>
      <c r="E226" s="1" t="n">
        <v>46222</v>
      </c>
      <c r="F226" t="inlineStr">
        <is>
          <t>ÖREBRO LÄN</t>
        </is>
      </c>
      <c r="G226" t="inlineStr">
        <is>
          <t>HALLSBERG</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14333-2022</t>
        </is>
      </c>
      <c r="B227" t="inlineStr">
        <is>
          <t>avverkningsanmälan</t>
        </is>
      </c>
      <c r="C227" t="inlineStr">
        <is>
          <t>Föryngringsavverkning</t>
        </is>
      </c>
      <c r="D227" s="1" t="n">
        <v>44651</v>
      </c>
      <c r="E227" s="1" t="n">
        <v>46222</v>
      </c>
      <c r="F227" t="inlineStr">
        <is>
          <t>ÖREBRO LÄN</t>
        </is>
      </c>
      <c r="G227" t="inlineStr">
        <is>
          <t>HALLSBERG</t>
        </is>
      </c>
      <c r="I227" t="n">
        <v>3.9</v>
      </c>
      <c r="J227" t="n">
        <v>0</v>
      </c>
      <c r="K227" t="n">
        <v>0</v>
      </c>
      <c r="L227" t="n">
        <v>0</v>
      </c>
      <c r="M227" t="n">
        <v>0</v>
      </c>
      <c r="N227" t="n">
        <v>0</v>
      </c>
      <c r="O227" t="n">
        <v>0</v>
      </c>
      <c r="P227" t="n">
        <v>0</v>
      </c>
      <c r="Q227" t="n">
        <v>0</v>
      </c>
      <c r="R227" t="n">
        <v>0</v>
      </c>
      <c r="S227" t="n">
        <v>0</v>
      </c>
      <c r="T227" t="n">
        <v>0</v>
      </c>
      <c r="U227" s="2" t="inlineStr"/>
    </row>
    <row r="228" ht="15" customHeight="1">
      <c r="A228" t="inlineStr">
        <is>
          <t>A 27110-2023</t>
        </is>
      </c>
      <c r="B228" t="inlineStr">
        <is>
          <t>avverkningsanmälan</t>
        </is>
      </c>
      <c r="C228" t="inlineStr">
        <is>
          <t>Föryngringsavverkning</t>
        </is>
      </c>
      <c r="D228" s="1" t="n">
        <v>45096</v>
      </c>
      <c r="E228" s="1" t="n">
        <v>46222</v>
      </c>
      <c r="F228" t="inlineStr">
        <is>
          <t>ÖREBRO LÄN</t>
        </is>
      </c>
      <c r="G228" t="inlineStr">
        <is>
          <t>HALLSBERG</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19849-2022</t>
        </is>
      </c>
      <c r="B229" t="inlineStr">
        <is>
          <t>avverkningsanmälan</t>
        </is>
      </c>
      <c r="C229" t="inlineStr">
        <is>
          <t>Föryngringsavverkning</t>
        </is>
      </c>
      <c r="D229" s="1" t="n">
        <v>44696</v>
      </c>
      <c r="E229" s="1" t="n">
        <v>46222</v>
      </c>
      <c r="F229" t="inlineStr">
        <is>
          <t>ÖREBRO LÄN</t>
        </is>
      </c>
      <c r="G229" t="inlineStr">
        <is>
          <t>HALLSBERG</t>
        </is>
      </c>
      <c r="H229" t="inlineStr">
        <is>
          <t>Sveaskog</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18892-2024</t>
        </is>
      </c>
      <c r="B230" t="inlineStr">
        <is>
          <t>avverkningsanmälan</t>
        </is>
      </c>
      <c r="C230" t="inlineStr">
        <is>
          <t>Föryngringsavverkning</t>
        </is>
      </c>
      <c r="D230" s="1" t="n">
        <v>45427</v>
      </c>
      <c r="E230" s="1" t="n">
        <v>46222</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12471-2022</t>
        </is>
      </c>
      <c r="B231" t="inlineStr">
        <is>
          <t>avverkningsanmälan</t>
        </is>
      </c>
      <c r="C231" t="inlineStr">
        <is>
          <t>Föryngringsavverkning</t>
        </is>
      </c>
      <c r="D231" s="1" t="n">
        <v>44638</v>
      </c>
      <c r="E231" s="1" t="n">
        <v>46222</v>
      </c>
      <c r="F231" t="inlineStr">
        <is>
          <t>ÖREBRO LÄN</t>
        </is>
      </c>
      <c r="G231" t="inlineStr">
        <is>
          <t>HALLSBERG</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15523-2024</t>
        </is>
      </c>
      <c r="B232" t="inlineStr">
        <is>
          <t>avverkningsanmälan</t>
        </is>
      </c>
      <c r="C232" t="inlineStr">
        <is>
          <t>Avverkning för att bevara och utveckla /försöksver</t>
        </is>
      </c>
      <c r="D232" s="1" t="n">
        <v>45401</v>
      </c>
      <c r="E232" s="1" t="n">
        <v>46222</v>
      </c>
      <c r="F232" t="inlineStr">
        <is>
          <t>ÖREBRO LÄN</t>
        </is>
      </c>
      <c r="G232" t="inlineStr">
        <is>
          <t>HALLSBERG</t>
        </is>
      </c>
      <c r="H232" t="inlineStr">
        <is>
          <t>Sveaskog</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26301-2026</t>
        </is>
      </c>
      <c r="B233" t="inlineStr">
        <is>
          <t>avverkningsanmälan</t>
        </is>
      </c>
      <c r="C233" t="inlineStr">
        <is>
          <t>Föryngringsavverkning</t>
        </is>
      </c>
      <c r="D233" s="1" t="n">
        <v>46182</v>
      </c>
      <c r="E233" s="1" t="n">
        <v>46222</v>
      </c>
      <c r="F233" t="inlineStr">
        <is>
          <t>ÖREBRO LÄN</t>
        </is>
      </c>
      <c r="G233" t="inlineStr">
        <is>
          <t>HALLSBERG</t>
        </is>
      </c>
      <c r="I233" t="n">
        <v>3.8</v>
      </c>
      <c r="J233" t="n">
        <v>0</v>
      </c>
      <c r="K233" t="n">
        <v>0</v>
      </c>
      <c r="L233" t="n">
        <v>0</v>
      </c>
      <c r="M233" t="n">
        <v>0</v>
      </c>
      <c r="N233" t="n">
        <v>0</v>
      </c>
      <c r="O233" t="n">
        <v>0</v>
      </c>
      <c r="P233" t="n">
        <v>0</v>
      </c>
      <c r="Q233" t="n">
        <v>0</v>
      </c>
      <c r="R233" t="n">
        <v>0</v>
      </c>
      <c r="S233" t="n">
        <v>0</v>
      </c>
      <c r="T233" t="n">
        <v>0</v>
      </c>
      <c r="U233" s="2" t="inlineStr"/>
    </row>
    <row r="234" ht="15" customHeight="1">
      <c r="A234" t="inlineStr">
        <is>
          <t>A 24628-2023</t>
        </is>
      </c>
      <c r="B234" t="inlineStr">
        <is>
          <t>avverkningsanmälan</t>
        </is>
      </c>
      <c r="C234" t="inlineStr">
        <is>
          <t>Föryngringsavverkning</t>
        </is>
      </c>
      <c r="D234" s="1" t="n">
        <v>45084</v>
      </c>
      <c r="E234" s="1" t="n">
        <v>46222</v>
      </c>
      <c r="F234" t="inlineStr">
        <is>
          <t>ÖREBRO LÄN</t>
        </is>
      </c>
      <c r="G234" t="inlineStr">
        <is>
          <t>HALLSBERG</t>
        </is>
      </c>
      <c r="I234" t="n">
        <v>6</v>
      </c>
      <c r="J234" t="n">
        <v>0</v>
      </c>
      <c r="K234" t="n">
        <v>0</v>
      </c>
      <c r="L234" t="n">
        <v>0</v>
      </c>
      <c r="M234" t="n">
        <v>0</v>
      </c>
      <c r="N234" t="n">
        <v>0</v>
      </c>
      <c r="O234" t="n">
        <v>0</v>
      </c>
      <c r="P234" t="n">
        <v>0</v>
      </c>
      <c r="Q234" t="n">
        <v>0</v>
      </c>
      <c r="R234" t="n">
        <v>0</v>
      </c>
      <c r="S234" t="n">
        <v>0</v>
      </c>
      <c r="T234" t="n">
        <v>0</v>
      </c>
      <c r="U234" s="2" t="inlineStr"/>
    </row>
    <row r="235" ht="15" customHeight="1">
      <c r="A235" t="inlineStr">
        <is>
          <t>A 1793-2026</t>
        </is>
      </c>
      <c r="B235" t="inlineStr">
        <is>
          <t>avverkningsanmälan</t>
        </is>
      </c>
      <c r="C235" t="inlineStr">
        <is>
          <t>Föryngringsavverkning</t>
        </is>
      </c>
      <c r="D235" s="1" t="n">
        <v>46034</v>
      </c>
      <c r="E235" s="1" t="n">
        <v>46222</v>
      </c>
      <c r="F235" t="inlineStr">
        <is>
          <t>ÖREBRO LÄN</t>
        </is>
      </c>
      <c r="G235" t="inlineStr">
        <is>
          <t>HALLSBERG</t>
        </is>
      </c>
      <c r="I235" t="n">
        <v>23.5</v>
      </c>
      <c r="J235" t="n">
        <v>0</v>
      </c>
      <c r="K235" t="n">
        <v>0</v>
      </c>
      <c r="L235" t="n">
        <v>0</v>
      </c>
      <c r="M235" t="n">
        <v>0</v>
      </c>
      <c r="N235" t="n">
        <v>0</v>
      </c>
      <c r="O235" t="n">
        <v>0</v>
      </c>
      <c r="P235" t="n">
        <v>0</v>
      </c>
      <c r="Q235" t="n">
        <v>0</v>
      </c>
      <c r="R235" t="n">
        <v>0</v>
      </c>
      <c r="S235" t="n">
        <v>0</v>
      </c>
      <c r="T235" t="n">
        <v>0</v>
      </c>
      <c r="U235" s="2" t="inlineStr"/>
    </row>
    <row r="236" ht="15" customHeight="1">
      <c r="A236" t="inlineStr">
        <is>
          <t>A 26294-2026</t>
        </is>
      </c>
      <c r="B236" t="inlineStr">
        <is>
          <t>avverkningsanmälan</t>
        </is>
      </c>
      <c r="C236" t="inlineStr">
        <is>
          <t>Föryngringsavverkning</t>
        </is>
      </c>
      <c r="D236" s="1" t="n">
        <v>46182</v>
      </c>
      <c r="E236" s="1" t="n">
        <v>46222</v>
      </c>
      <c r="F236" t="inlineStr">
        <is>
          <t>ÖREBRO LÄN</t>
        </is>
      </c>
      <c r="G236" t="inlineStr">
        <is>
          <t>HALLSBERG</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14928-2022</t>
        </is>
      </c>
      <c r="B237" t="inlineStr">
        <is>
          <t>avverkningsanmälan</t>
        </is>
      </c>
      <c r="C237" t="inlineStr">
        <is>
          <t>Avverkning för annat ändamål</t>
        </is>
      </c>
      <c r="D237" s="1" t="n">
        <v>44657</v>
      </c>
      <c r="E237" s="1" t="n">
        <v>46222</v>
      </c>
      <c r="F237" t="inlineStr">
        <is>
          <t>ÖREBRO LÄN</t>
        </is>
      </c>
      <c r="G237" t="inlineStr">
        <is>
          <t>HALLSBERG</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18893-2024</t>
        </is>
      </c>
      <c r="B238" t="inlineStr">
        <is>
          <t>avverkningsanmälan</t>
        </is>
      </c>
      <c r="C238" t="inlineStr">
        <is>
          <t>Föryngringsavverkning</t>
        </is>
      </c>
      <c r="D238" s="1" t="n">
        <v>45427</v>
      </c>
      <c r="E238" s="1" t="n">
        <v>46222</v>
      </c>
      <c r="F238" t="inlineStr">
        <is>
          <t>ÖREBRO LÄN</t>
        </is>
      </c>
      <c r="G238" t="inlineStr">
        <is>
          <t>HALLSBERG</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29735-2023</t>
        </is>
      </c>
      <c r="B239" t="inlineStr">
        <is>
          <t>avverkningsanmälan</t>
        </is>
      </c>
      <c r="C239" t="inlineStr">
        <is>
          <t>Avverkning för annat ändamål</t>
        </is>
      </c>
      <c r="D239" s="1" t="n">
        <v>45098</v>
      </c>
      <c r="E239" s="1" t="n">
        <v>46222</v>
      </c>
      <c r="F239" t="inlineStr">
        <is>
          <t>ÖREBRO LÄN</t>
        </is>
      </c>
      <c r="G239" t="inlineStr">
        <is>
          <t>HALLSBERG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40072-2025</t>
        </is>
      </c>
      <c r="B240" t="inlineStr">
        <is>
          <t>avverkningsanmälan</t>
        </is>
      </c>
      <c r="C240" t="inlineStr">
        <is>
          <t>Föryngringsavverkning</t>
        </is>
      </c>
      <c r="D240" s="1" t="n">
        <v>45894</v>
      </c>
      <c r="E240" s="1" t="n">
        <v>46222</v>
      </c>
      <c r="F240" t="inlineStr">
        <is>
          <t>ÖREBRO LÄN</t>
        </is>
      </c>
      <c r="G240" t="inlineStr">
        <is>
          <t>HALLSBERG</t>
        </is>
      </c>
      <c r="H240" t="inlineStr">
        <is>
          <t>Sveaskog</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36619-2025</t>
        </is>
      </c>
      <c r="B241" t="inlineStr">
        <is>
          <t>avverkningsanmälan</t>
        </is>
      </c>
      <c r="C241" t="inlineStr">
        <is>
          <t>Föryngringsavverkning</t>
        </is>
      </c>
      <c r="D241" s="1" t="n">
        <v>45870</v>
      </c>
      <c r="E241" s="1" t="n">
        <v>46222</v>
      </c>
      <c r="F241" t="inlineStr">
        <is>
          <t>ÖREBRO LÄN</t>
        </is>
      </c>
      <c r="G241" t="inlineStr">
        <is>
          <t>HALLSBERG</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24760-2024</t>
        </is>
      </c>
      <c r="B242" t="inlineStr">
        <is>
          <t>avverkningsanmälan</t>
        </is>
      </c>
      <c r="C242" t="inlineStr">
        <is>
          <t>Föryngringsavverkning</t>
        </is>
      </c>
      <c r="D242" s="1" t="n">
        <v>45460</v>
      </c>
      <c r="E242" s="1" t="n">
        <v>46222</v>
      </c>
      <c r="F242" t="inlineStr">
        <is>
          <t>ÖREBRO LÄN</t>
        </is>
      </c>
      <c r="G242" t="inlineStr">
        <is>
          <t>HALLSBERG</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9814-2025</t>
        </is>
      </c>
      <c r="B243" t="inlineStr">
        <is>
          <t>avverkningsanmälan</t>
        </is>
      </c>
      <c r="C243" t="inlineStr">
        <is>
          <t>Föryngringsavverkning</t>
        </is>
      </c>
      <c r="D243" s="1" t="n">
        <v>45715</v>
      </c>
      <c r="E243" s="1" t="n">
        <v>46222</v>
      </c>
      <c r="F243" t="inlineStr">
        <is>
          <t>ÖREBRO LÄN</t>
        </is>
      </c>
      <c r="G243" t="inlineStr">
        <is>
          <t>HALLSBERG</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36880-2022</t>
        </is>
      </c>
      <c r="B244" t="inlineStr">
        <is>
          <t>avverkningsanmälan</t>
        </is>
      </c>
      <c r="C244" t="inlineStr">
        <is>
          <t>Föryngringsavverkning</t>
        </is>
      </c>
      <c r="D244" s="1" t="n">
        <v>44805</v>
      </c>
      <c r="E244" s="1" t="n">
        <v>46222</v>
      </c>
      <c r="F244" t="inlineStr">
        <is>
          <t>ÖREBRO LÄN</t>
        </is>
      </c>
      <c r="G244" t="inlineStr">
        <is>
          <t>HALLSBERG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27614-2026</t>
        </is>
      </c>
      <c r="B245" t="inlineStr">
        <is>
          <t>avverkningsanmälan</t>
        </is>
      </c>
      <c r="C245" t="inlineStr">
        <is>
          <t>Föryngringsavverkning</t>
        </is>
      </c>
      <c r="D245" s="1" t="n">
        <v>46190</v>
      </c>
      <c r="E245" s="1" t="n">
        <v>46222</v>
      </c>
      <c r="F245" t="inlineStr">
        <is>
          <t>ÖREBRO LÄN</t>
        </is>
      </c>
      <c r="G245" t="inlineStr">
        <is>
          <t>HALLSBERG</t>
        </is>
      </c>
      <c r="H245" t="inlineStr">
        <is>
          <t>Allmännings- och besparingsskogar</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8347-2024</t>
        </is>
      </c>
      <c r="B246" t="inlineStr">
        <is>
          <t>avverkningsanmälan</t>
        </is>
      </c>
      <c r="C246" t="inlineStr">
        <is>
          <t>Avverkning för att bevara och utveckla /försöksver</t>
        </is>
      </c>
      <c r="D246" s="1" t="n">
        <v>45352</v>
      </c>
      <c r="E246" s="1" t="n">
        <v>46222</v>
      </c>
      <c r="F246" t="inlineStr">
        <is>
          <t>ÖREBRO LÄN</t>
        </is>
      </c>
      <c r="G246" t="inlineStr">
        <is>
          <t>HALLSBERG</t>
        </is>
      </c>
      <c r="H246" t="inlineStr">
        <is>
          <t>Sveaskog</t>
        </is>
      </c>
      <c r="I246" t="n">
        <v>9.1</v>
      </c>
      <c r="J246" t="n">
        <v>0</v>
      </c>
      <c r="K246" t="n">
        <v>0</v>
      </c>
      <c r="L246" t="n">
        <v>0</v>
      </c>
      <c r="M246" t="n">
        <v>0</v>
      </c>
      <c r="N246" t="n">
        <v>0</v>
      </c>
      <c r="O246" t="n">
        <v>0</v>
      </c>
      <c r="P246" t="n">
        <v>0</v>
      </c>
      <c r="Q246" t="n">
        <v>0</v>
      </c>
      <c r="R246" t="n">
        <v>0</v>
      </c>
      <c r="S246" t="n">
        <v>0</v>
      </c>
      <c r="T246" t="n">
        <v>0</v>
      </c>
      <c r="U246" s="2" t="inlineStr"/>
    </row>
    <row r="247" ht="15" customHeight="1">
      <c r="A247" t="inlineStr">
        <is>
          <t>A 24801-2023</t>
        </is>
      </c>
      <c r="B247" t="inlineStr">
        <is>
          <t>avverkningsanmälan</t>
        </is>
      </c>
      <c r="C247" t="inlineStr">
        <is>
          <t>Föryngringsavverkning</t>
        </is>
      </c>
      <c r="D247" s="1" t="n">
        <v>45084</v>
      </c>
      <c r="E247" s="1" t="n">
        <v>46222</v>
      </c>
      <c r="F247" t="inlineStr">
        <is>
          <t>ÖREBRO LÄN</t>
        </is>
      </c>
      <c r="G247" t="inlineStr">
        <is>
          <t>HALLSBERG</t>
        </is>
      </c>
      <c r="H247" t="inlineStr">
        <is>
          <t>Allmännings- och besparingsskogar</t>
        </is>
      </c>
      <c r="I247" t="n">
        <v>5.1</v>
      </c>
      <c r="J247" t="n">
        <v>0</v>
      </c>
      <c r="K247" t="n">
        <v>0</v>
      </c>
      <c r="L247" t="n">
        <v>0</v>
      </c>
      <c r="M247" t="n">
        <v>0</v>
      </c>
      <c r="N247" t="n">
        <v>0</v>
      </c>
      <c r="O247" t="n">
        <v>0</v>
      </c>
      <c r="P247" t="n">
        <v>0</v>
      </c>
      <c r="Q247" t="n">
        <v>0</v>
      </c>
      <c r="R247" t="n">
        <v>0</v>
      </c>
      <c r="S247" t="n">
        <v>0</v>
      </c>
      <c r="T247" t="n">
        <v>0</v>
      </c>
      <c r="U247" s="2" t="inlineStr"/>
    </row>
    <row r="248" ht="15" customHeight="1">
      <c r="A248" t="inlineStr">
        <is>
          <t>A 31094-2024</t>
        </is>
      </c>
      <c r="B248" t="inlineStr">
        <is>
          <t>avverkningsanmälan</t>
        </is>
      </c>
      <c r="C248" t="inlineStr">
        <is>
          <t>Avverkning för annat ändamål</t>
        </is>
      </c>
      <c r="D248" s="1" t="n">
        <v>45502</v>
      </c>
      <c r="E248" s="1" t="n">
        <v>46222</v>
      </c>
      <c r="F248" t="inlineStr">
        <is>
          <t>ÖREBRO LÄN</t>
        </is>
      </c>
      <c r="G248" t="inlineStr">
        <is>
          <t>HALLSBERG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7492-2024</t>
        </is>
      </c>
      <c r="B249" t="inlineStr">
        <is>
          <t>avverkningsanmälan</t>
        </is>
      </c>
      <c r="C249" t="inlineStr">
        <is>
          <t>Föryngringsavverkning</t>
        </is>
      </c>
      <c r="D249" s="1" t="n">
        <v>45346</v>
      </c>
      <c r="E249" s="1" t="n">
        <v>46222</v>
      </c>
      <c r="F249" t="inlineStr">
        <is>
          <t>ÖREBRO LÄN</t>
        </is>
      </c>
      <c r="G249" t="inlineStr">
        <is>
          <t>HALLSBERG</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11925-2025</t>
        </is>
      </c>
      <c r="B250" t="inlineStr">
        <is>
          <t>avverkningsanmälan</t>
        </is>
      </c>
      <c r="C250" t="inlineStr">
        <is>
          <t>Avverkning för annat ändamål</t>
        </is>
      </c>
      <c r="D250" s="1" t="n">
        <v>45728</v>
      </c>
      <c r="E250" s="1" t="n">
        <v>46222</v>
      </c>
      <c r="F250" t="inlineStr">
        <is>
          <t>ÖREBRO LÄN</t>
        </is>
      </c>
      <c r="G250" t="inlineStr">
        <is>
          <t>HALLSBERG</t>
        </is>
      </c>
      <c r="H250" t="inlineStr">
        <is>
          <t>Allmännings- och besparingsskogar</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29859-2022</t>
        </is>
      </c>
      <c r="B251" t="inlineStr">
        <is>
          <t>avverkningsanmälan</t>
        </is>
      </c>
      <c r="C251" t="inlineStr">
        <is>
          <t>Föryngringsavverkning</t>
        </is>
      </c>
      <c r="D251" s="1" t="n">
        <v>44756</v>
      </c>
      <c r="E251" s="1" t="n">
        <v>46222</v>
      </c>
      <c r="F251" t="inlineStr">
        <is>
          <t>ÖREBRO LÄN</t>
        </is>
      </c>
      <c r="G251" t="inlineStr">
        <is>
          <t>HALLSBERG</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29907-2024</t>
        </is>
      </c>
      <c r="B252" t="inlineStr">
        <is>
          <t>avverkningsanmälan</t>
        </is>
      </c>
      <c r="C252" t="inlineStr">
        <is>
          <t>Föryngringsavverkning</t>
        </is>
      </c>
      <c r="D252" s="1" t="n">
        <v>45487</v>
      </c>
      <c r="E252" s="1" t="n">
        <v>46222</v>
      </c>
      <c r="F252" t="inlineStr">
        <is>
          <t>ÖREBRO LÄN</t>
        </is>
      </c>
      <c r="G252" t="inlineStr">
        <is>
          <t>HALLSBERG</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36081-2023</t>
        </is>
      </c>
      <c r="B253" t="inlineStr">
        <is>
          <t>avverkningsanmälan</t>
        </is>
      </c>
      <c r="C253" t="inlineStr">
        <is>
          <t>Föryngringsavverkning</t>
        </is>
      </c>
      <c r="D253" s="1" t="n">
        <v>45149</v>
      </c>
      <c r="E253" s="1" t="n">
        <v>46222</v>
      </c>
      <c r="F253" t="inlineStr">
        <is>
          <t>ÖREBRO LÄN</t>
        </is>
      </c>
      <c r="G253" t="inlineStr">
        <is>
          <t>HALLSBERG</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12133-2023</t>
        </is>
      </c>
      <c r="B254" t="inlineStr">
        <is>
          <t>avverkningsanmälan</t>
        </is>
      </c>
      <c r="C254" t="inlineStr">
        <is>
          <t>Föryngringsavverkning</t>
        </is>
      </c>
      <c r="D254" s="1" t="n">
        <v>44998</v>
      </c>
      <c r="E254" s="1" t="n">
        <v>46222</v>
      </c>
      <c r="F254" t="inlineStr">
        <is>
          <t>ÖREBRO LÄN</t>
        </is>
      </c>
      <c r="G254" t="inlineStr">
        <is>
          <t>HALLSBERG</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56839-2025</t>
        </is>
      </c>
      <c r="B255" t="inlineStr">
        <is>
          <t>avverkningsanmälan</t>
        </is>
      </c>
      <c r="C255" t="inlineStr">
        <is>
          <t>Föryngringsavverkning</t>
        </is>
      </c>
      <c r="D255" s="1" t="n">
        <v>45978</v>
      </c>
      <c r="E255" s="1" t="n">
        <v>46222</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10863-2022</t>
        </is>
      </c>
      <c r="B256" t="inlineStr">
        <is>
          <t>avverkningsanmälan</t>
        </is>
      </c>
      <c r="C256" t="inlineStr">
        <is>
          <t>Föryngringsavverkning</t>
        </is>
      </c>
      <c r="D256" s="1" t="n">
        <v>44627</v>
      </c>
      <c r="E256" s="1" t="n">
        <v>46222</v>
      </c>
      <c r="F256" t="inlineStr">
        <is>
          <t>ÖREBRO LÄN</t>
        </is>
      </c>
      <c r="G256" t="inlineStr">
        <is>
          <t>HALLSBERG</t>
        </is>
      </c>
      <c r="I256" t="n">
        <v>6.9</v>
      </c>
      <c r="J256" t="n">
        <v>0</v>
      </c>
      <c r="K256" t="n">
        <v>0</v>
      </c>
      <c r="L256" t="n">
        <v>0</v>
      </c>
      <c r="M256" t="n">
        <v>0</v>
      </c>
      <c r="N256" t="n">
        <v>0</v>
      </c>
      <c r="O256" t="n">
        <v>0</v>
      </c>
      <c r="P256" t="n">
        <v>0</v>
      </c>
      <c r="Q256" t="n">
        <v>0</v>
      </c>
      <c r="R256" t="n">
        <v>0</v>
      </c>
      <c r="S256" t="n">
        <v>0</v>
      </c>
      <c r="T256" t="n">
        <v>0</v>
      </c>
      <c r="U256" s="2" t="inlineStr"/>
    </row>
    <row r="257" ht="15" customHeight="1">
      <c r="A257" t="inlineStr">
        <is>
          <t>A 37723-2023</t>
        </is>
      </c>
      <c r="B257" t="inlineStr">
        <is>
          <t>avverkningsanmälan</t>
        </is>
      </c>
      <c r="C257" t="inlineStr">
        <is>
          <t>Föryngringsavverkning</t>
        </is>
      </c>
      <c r="D257" s="1" t="n">
        <v>45159</v>
      </c>
      <c r="E257" s="1" t="n">
        <v>46222</v>
      </c>
      <c r="F257" t="inlineStr">
        <is>
          <t>ÖREBRO LÄN</t>
        </is>
      </c>
      <c r="G257" t="inlineStr">
        <is>
          <t>HALLSBERG</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15591-2025</t>
        </is>
      </c>
      <c r="B258" t="inlineStr">
        <is>
          <t>avverkningsanmälan</t>
        </is>
      </c>
      <c r="C258" t="inlineStr">
        <is>
          <t>Föryngringsavverkning</t>
        </is>
      </c>
      <c r="D258" s="1" t="n">
        <v>45747</v>
      </c>
      <c r="E258" s="1" t="n">
        <v>46222</v>
      </c>
      <c r="F258" t="inlineStr">
        <is>
          <t>ÖREBRO LÄN</t>
        </is>
      </c>
      <c r="G258" t="inlineStr">
        <is>
          <t>HALLSBERG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8869-2022</t>
        </is>
      </c>
      <c r="B259" t="inlineStr">
        <is>
          <t>avverkningsanmälan</t>
        </is>
      </c>
      <c r="C259" t="inlineStr">
        <is>
          <t>Föryngringsavverkning</t>
        </is>
      </c>
      <c r="D259" s="1" t="n">
        <v>44614</v>
      </c>
      <c r="E259" s="1" t="n">
        <v>46222</v>
      </c>
      <c r="F259" t="inlineStr">
        <is>
          <t>ÖREBRO LÄN</t>
        </is>
      </c>
      <c r="G259" t="inlineStr">
        <is>
          <t>HALLSBERG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28903-2026</t>
        </is>
      </c>
      <c r="B260" t="inlineStr">
        <is>
          <t>avverkningsanmälan</t>
        </is>
      </c>
      <c r="C260" t="inlineStr">
        <is>
          <t>Föryngringsavverkning</t>
        </is>
      </c>
      <c r="D260" s="1" t="n">
        <v>46199</v>
      </c>
      <c r="E260" s="1" t="n">
        <v>46222</v>
      </c>
      <c r="F260" t="inlineStr">
        <is>
          <t>ÖREBRO LÄN</t>
        </is>
      </c>
      <c r="G260" t="inlineStr">
        <is>
          <t>HALLSBERG</t>
        </is>
      </c>
      <c r="I260" t="n">
        <v>5.2</v>
      </c>
      <c r="J260" t="n">
        <v>0</v>
      </c>
      <c r="K260" t="n">
        <v>0</v>
      </c>
      <c r="L260" t="n">
        <v>0</v>
      </c>
      <c r="M260" t="n">
        <v>0</v>
      </c>
      <c r="N260" t="n">
        <v>0</v>
      </c>
      <c r="O260" t="n">
        <v>0</v>
      </c>
      <c r="P260" t="n">
        <v>0</v>
      </c>
      <c r="Q260" t="n">
        <v>0</v>
      </c>
      <c r="R260" t="n">
        <v>0</v>
      </c>
      <c r="S260" t="n">
        <v>0</v>
      </c>
      <c r="T260" t="n">
        <v>0</v>
      </c>
      <c r="U260" s="2" t="inlineStr"/>
    </row>
    <row r="261" ht="15" customHeight="1">
      <c r="A261" t="inlineStr">
        <is>
          <t>A 28932-2026</t>
        </is>
      </c>
      <c r="B261" t="inlineStr">
        <is>
          <t>avverkningsanmälan</t>
        </is>
      </c>
      <c r="C261" t="inlineStr">
        <is>
          <t>Föryngringsavverkning</t>
        </is>
      </c>
      <c r="D261" s="1" t="n">
        <v>46199</v>
      </c>
      <c r="E261" s="1" t="n">
        <v>46222</v>
      </c>
      <c r="F261" t="inlineStr">
        <is>
          <t>ÖREBRO LÄN</t>
        </is>
      </c>
      <c r="G261" t="inlineStr">
        <is>
          <t>HALLSBERG</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8606-2022</t>
        </is>
      </c>
      <c r="B262" t="inlineStr">
        <is>
          <t>avverkningsanmälan</t>
        </is>
      </c>
      <c r="C262" t="inlineStr">
        <is>
          <t>Föryngringsavverkning</t>
        </is>
      </c>
      <c r="D262" s="1" t="n">
        <v>44610</v>
      </c>
      <c r="E262" s="1" t="n">
        <v>46222</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28956-2026</t>
        </is>
      </c>
      <c r="B263" t="inlineStr">
        <is>
          <t>avverkningsanmälan</t>
        </is>
      </c>
      <c r="C263" t="inlineStr">
        <is>
          <t>Föryngringsavverkning</t>
        </is>
      </c>
      <c r="D263" s="1" t="n">
        <v>46199</v>
      </c>
      <c r="E263" s="1" t="n">
        <v>46222</v>
      </c>
      <c r="F263" t="inlineStr">
        <is>
          <t>ÖREBRO LÄN</t>
        </is>
      </c>
      <c r="G263" t="inlineStr">
        <is>
          <t>HALLSBERG</t>
        </is>
      </c>
      <c r="I263" t="n">
        <v>6.3</v>
      </c>
      <c r="J263" t="n">
        <v>0</v>
      </c>
      <c r="K263" t="n">
        <v>0</v>
      </c>
      <c r="L263" t="n">
        <v>0</v>
      </c>
      <c r="M263" t="n">
        <v>0</v>
      </c>
      <c r="N263" t="n">
        <v>0</v>
      </c>
      <c r="O263" t="n">
        <v>0</v>
      </c>
      <c r="P263" t="n">
        <v>0</v>
      </c>
      <c r="Q263" t="n">
        <v>0</v>
      </c>
      <c r="R263" t="n">
        <v>0</v>
      </c>
      <c r="S263" t="n">
        <v>0</v>
      </c>
      <c r="T263" t="n">
        <v>0</v>
      </c>
      <c r="U263" s="2" t="inlineStr"/>
    </row>
    <row r="264" ht="15" customHeight="1">
      <c r="A264" t="inlineStr">
        <is>
          <t>A 28945-2026</t>
        </is>
      </c>
      <c r="B264" t="inlineStr">
        <is>
          <t>avverkningsanmälan</t>
        </is>
      </c>
      <c r="C264" t="inlineStr">
        <is>
          <t>Föryngringsavverkning</t>
        </is>
      </c>
      <c r="D264" s="1" t="n">
        <v>46199</v>
      </c>
      <c r="E264" s="1" t="n">
        <v>46222</v>
      </c>
      <c r="F264" t="inlineStr">
        <is>
          <t>ÖREBRO LÄN</t>
        </is>
      </c>
      <c r="G264" t="inlineStr">
        <is>
          <t>HALLSBERG</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13168-2023</t>
        </is>
      </c>
      <c r="B265" t="inlineStr">
        <is>
          <t>avverkningsanmälan</t>
        </is>
      </c>
      <c r="C265" t="inlineStr">
        <is>
          <t>Föryngringsavverkning</t>
        </is>
      </c>
      <c r="D265" s="1" t="n">
        <v>45002</v>
      </c>
      <c r="E265" s="1" t="n">
        <v>46222</v>
      </c>
      <c r="F265" t="inlineStr">
        <is>
          <t>ÖREBRO LÄN</t>
        </is>
      </c>
      <c r="G265" t="inlineStr">
        <is>
          <t>HALLSBERG</t>
        </is>
      </c>
      <c r="H265" t="inlineStr">
        <is>
          <t>Allmännings- och besparingsskogar</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28941-2026</t>
        </is>
      </c>
      <c r="B266" t="inlineStr">
        <is>
          <t>avverkningsanmälan</t>
        </is>
      </c>
      <c r="C266" t="inlineStr">
        <is>
          <t>Föryngringsavverkning</t>
        </is>
      </c>
      <c r="D266" s="1" t="n">
        <v>46199</v>
      </c>
      <c r="E266" s="1" t="n">
        <v>46222</v>
      </c>
      <c r="F266" t="inlineStr">
        <is>
          <t>ÖREBRO LÄN</t>
        </is>
      </c>
      <c r="G266" t="inlineStr">
        <is>
          <t>HALLSBERG</t>
        </is>
      </c>
      <c r="I266" t="n">
        <v>4.6</v>
      </c>
      <c r="J266" t="n">
        <v>0</v>
      </c>
      <c r="K266" t="n">
        <v>0</v>
      </c>
      <c r="L266" t="n">
        <v>0</v>
      </c>
      <c r="M266" t="n">
        <v>0</v>
      </c>
      <c r="N266" t="n">
        <v>0</v>
      </c>
      <c r="O266" t="n">
        <v>0</v>
      </c>
      <c r="P266" t="n">
        <v>0</v>
      </c>
      <c r="Q266" t="n">
        <v>0</v>
      </c>
      <c r="R266" t="n">
        <v>0</v>
      </c>
      <c r="S266" t="n">
        <v>0</v>
      </c>
      <c r="T266" t="n">
        <v>0</v>
      </c>
      <c r="U266" s="2" t="inlineStr"/>
    </row>
    <row r="267" ht="15" customHeight="1">
      <c r="A267" t="inlineStr">
        <is>
          <t>A 28928-2026</t>
        </is>
      </c>
      <c r="B267" t="inlineStr">
        <is>
          <t>avverkningsanmälan</t>
        </is>
      </c>
      <c r="C267" t="inlineStr">
        <is>
          <t>Föryngringsavverkning</t>
        </is>
      </c>
      <c r="D267" s="1" t="n">
        <v>46199</v>
      </c>
      <c r="E267" s="1" t="n">
        <v>46222</v>
      </c>
      <c r="F267" t="inlineStr">
        <is>
          <t>ÖREBRO LÄN</t>
        </is>
      </c>
      <c r="G267" t="inlineStr">
        <is>
          <t>HALLSBERG</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28963-2026</t>
        </is>
      </c>
      <c r="B268" t="inlineStr">
        <is>
          <t>avverkningsanmälan</t>
        </is>
      </c>
      <c r="C268" t="inlineStr">
        <is>
          <t>Föryngringsavverkning</t>
        </is>
      </c>
      <c r="D268" s="1" t="n">
        <v>46199</v>
      </c>
      <c r="E268" s="1" t="n">
        <v>46222</v>
      </c>
      <c r="F268" t="inlineStr">
        <is>
          <t>ÖREBRO LÄN</t>
        </is>
      </c>
      <c r="G268" t="inlineStr">
        <is>
          <t>HALLSBERG</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29326-2026</t>
        </is>
      </c>
      <c r="B269" t="inlineStr">
        <is>
          <t>avverkningsanmälan</t>
        </is>
      </c>
      <c r="C269" t="inlineStr">
        <is>
          <t>Föryngringsavverkning</t>
        </is>
      </c>
      <c r="D269" s="1" t="n">
        <v>46202</v>
      </c>
      <c r="E269" s="1" t="n">
        <v>46222</v>
      </c>
      <c r="F269" t="inlineStr">
        <is>
          <t>ÖREBRO LÄN</t>
        </is>
      </c>
      <c r="G269" t="inlineStr">
        <is>
          <t>HALLSBERG</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28913-2026</t>
        </is>
      </c>
      <c r="B270" t="inlineStr">
        <is>
          <t>avverkningsanmälan</t>
        </is>
      </c>
      <c r="C270" t="inlineStr">
        <is>
          <t>Föryngringsavverkning</t>
        </is>
      </c>
      <c r="D270" s="1" t="n">
        <v>46199</v>
      </c>
      <c r="E270" s="1" t="n">
        <v>46222</v>
      </c>
      <c r="F270" t="inlineStr">
        <is>
          <t>ÖREBRO LÄN</t>
        </is>
      </c>
      <c r="G270" t="inlineStr">
        <is>
          <t>HALLSBERG</t>
        </is>
      </c>
      <c r="I270" t="n">
        <v>5.3</v>
      </c>
      <c r="J270" t="n">
        <v>0</v>
      </c>
      <c r="K270" t="n">
        <v>0</v>
      </c>
      <c r="L270" t="n">
        <v>0</v>
      </c>
      <c r="M270" t="n">
        <v>0</v>
      </c>
      <c r="N270" t="n">
        <v>0</v>
      </c>
      <c r="O270" t="n">
        <v>0</v>
      </c>
      <c r="P270" t="n">
        <v>0</v>
      </c>
      <c r="Q270" t="n">
        <v>0</v>
      </c>
      <c r="R270" t="n">
        <v>0</v>
      </c>
      <c r="S270" t="n">
        <v>0</v>
      </c>
      <c r="T270" t="n">
        <v>0</v>
      </c>
      <c r="U270" s="2" t="inlineStr"/>
    </row>
    <row r="271" ht="15" customHeight="1">
      <c r="A271" t="inlineStr">
        <is>
          <t>A 8278-2023</t>
        </is>
      </c>
      <c r="B271" t="inlineStr">
        <is>
          <t>avverkningsanmälan</t>
        </is>
      </c>
      <c r="C271" t="inlineStr">
        <is>
          <t>Föryngringsavverkning</t>
        </is>
      </c>
      <c r="D271" s="1" t="n">
        <v>44974</v>
      </c>
      <c r="E271" s="1" t="n">
        <v>46222</v>
      </c>
      <c r="F271" t="inlineStr">
        <is>
          <t>ÖREBRO LÄN</t>
        </is>
      </c>
      <c r="G271" t="inlineStr">
        <is>
          <t>HALLSBERG</t>
        </is>
      </c>
      <c r="H271" t="inlineStr">
        <is>
          <t>Kommuner</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44210-2022</t>
        </is>
      </c>
      <c r="B272" t="inlineStr">
        <is>
          <t>avverkningsanmälan</t>
        </is>
      </c>
      <c r="C272" t="inlineStr">
        <is>
          <t>Föryngringsavverkning</t>
        </is>
      </c>
      <c r="D272" s="1" t="n">
        <v>44839</v>
      </c>
      <c r="E272" s="1" t="n">
        <v>46222</v>
      </c>
      <c r="F272" t="inlineStr">
        <is>
          <t>ÖREBRO LÄN</t>
        </is>
      </c>
      <c r="G272" t="inlineStr">
        <is>
          <t>HALLSBERG</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43679-2022</t>
        </is>
      </c>
      <c r="B273" t="inlineStr">
        <is>
          <t>avverkningsanmälan</t>
        </is>
      </c>
      <c r="C273" t="inlineStr">
        <is>
          <t>Föryngringsavverkning</t>
        </is>
      </c>
      <c r="D273" s="1" t="n">
        <v>44837</v>
      </c>
      <c r="E273" s="1" t="n">
        <v>46222</v>
      </c>
      <c r="F273" t="inlineStr">
        <is>
          <t>ÖREBRO LÄN</t>
        </is>
      </c>
      <c r="G273" t="inlineStr">
        <is>
          <t>HALLSBERG</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12053-2022</t>
        </is>
      </c>
      <c r="B274" t="inlineStr">
        <is>
          <t>avverkningsanmälan</t>
        </is>
      </c>
      <c r="C274" t="inlineStr">
        <is>
          <t>Föryngringsavverkning</t>
        </is>
      </c>
      <c r="D274" s="1" t="n">
        <v>44636</v>
      </c>
      <c r="E274" s="1" t="n">
        <v>46222</v>
      </c>
      <c r="F274" t="inlineStr">
        <is>
          <t>ÖREBRO LÄN</t>
        </is>
      </c>
      <c r="G274" t="inlineStr">
        <is>
          <t>HALLSBERG</t>
        </is>
      </c>
      <c r="I274" t="n">
        <v>3.1</v>
      </c>
      <c r="J274" t="n">
        <v>0</v>
      </c>
      <c r="K274" t="n">
        <v>0</v>
      </c>
      <c r="L274" t="n">
        <v>0</v>
      </c>
      <c r="M274" t="n">
        <v>0</v>
      </c>
      <c r="N274" t="n">
        <v>0</v>
      </c>
      <c r="O274" t="n">
        <v>0</v>
      </c>
      <c r="P274" t="n">
        <v>0</v>
      </c>
      <c r="Q274" t="n">
        <v>0</v>
      </c>
      <c r="R274" t="n">
        <v>0</v>
      </c>
      <c r="S274" t="n">
        <v>0</v>
      </c>
      <c r="T274" t="n">
        <v>0</v>
      </c>
      <c r="U274" s="2" t="inlineStr"/>
    </row>
    <row r="275" ht="15" customHeight="1">
      <c r="A275" t="inlineStr">
        <is>
          <t>A 29718-2026</t>
        </is>
      </c>
      <c r="B275" t="inlineStr">
        <is>
          <t>avverkningsanmälan</t>
        </is>
      </c>
      <c r="C275" t="inlineStr">
        <is>
          <t>Föryngringsavverkning</t>
        </is>
      </c>
      <c r="D275" s="1" t="n">
        <v>46204</v>
      </c>
      <c r="E275" s="1" t="n">
        <v>46222</v>
      </c>
      <c r="F275" t="inlineStr">
        <is>
          <t>ÖREBRO LÄN</t>
        </is>
      </c>
      <c r="G275" t="inlineStr">
        <is>
          <t>HALLSBERG</t>
        </is>
      </c>
      <c r="I275" t="n">
        <v>2.1</v>
      </c>
      <c r="J275" t="n">
        <v>0</v>
      </c>
      <c r="K275" t="n">
        <v>0</v>
      </c>
      <c r="L275" t="n">
        <v>0</v>
      </c>
      <c r="M275" t="n">
        <v>0</v>
      </c>
      <c r="N275" t="n">
        <v>0</v>
      </c>
      <c r="O275" t="n">
        <v>0</v>
      </c>
      <c r="P275" t="n">
        <v>0</v>
      </c>
      <c r="Q275" t="n">
        <v>0</v>
      </c>
      <c r="R275" t="n">
        <v>0</v>
      </c>
      <c r="S275" t="n">
        <v>0</v>
      </c>
      <c r="T275" t="n">
        <v>0</v>
      </c>
      <c r="U275" s="2" t="inlineStr"/>
    </row>
    <row r="276" ht="15" customHeight="1">
      <c r="A276" t="inlineStr">
        <is>
          <t>A 59165-2025</t>
        </is>
      </c>
      <c r="B276" t="inlineStr">
        <is>
          <t>avverkningsanmälan</t>
        </is>
      </c>
      <c r="C276" t="inlineStr">
        <is>
          <t>Avverkning för annat ändamål</t>
        </is>
      </c>
      <c r="D276" s="1" t="n">
        <v>45988</v>
      </c>
      <c r="E276" s="1" t="n">
        <v>46222</v>
      </c>
      <c r="F276" t="inlineStr">
        <is>
          <t>ÖREBRO LÄN</t>
        </is>
      </c>
      <c r="G276" t="inlineStr">
        <is>
          <t>HALLSBERG</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29729-2026</t>
        </is>
      </c>
      <c r="B277" t="inlineStr">
        <is>
          <t>avverkningsanmälan</t>
        </is>
      </c>
      <c r="C277" t="inlineStr">
        <is>
          <t>Föryngringsavverkning</t>
        </is>
      </c>
      <c r="D277" s="1" t="n">
        <v>46204</v>
      </c>
      <c r="E277" s="1" t="n">
        <v>46222</v>
      </c>
      <c r="F277" t="inlineStr">
        <is>
          <t>ÖREBRO LÄN</t>
        </is>
      </c>
      <c r="G277" t="inlineStr">
        <is>
          <t>HALLSBERG</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12018-2025</t>
        </is>
      </c>
      <c r="B278" t="inlineStr">
        <is>
          <t>avverkningsanmälan</t>
        </is>
      </c>
      <c r="C278" t="inlineStr">
        <is>
          <t>Föryngringsavverkning</t>
        </is>
      </c>
      <c r="D278" s="1" t="n">
        <v>45728</v>
      </c>
      <c r="E278" s="1" t="n">
        <v>46222</v>
      </c>
      <c r="F278" t="inlineStr">
        <is>
          <t>ÖREBRO LÄN</t>
        </is>
      </c>
      <c r="G278" t="inlineStr">
        <is>
          <t>HALLSBERG</t>
        </is>
      </c>
      <c r="H278" t="inlineStr">
        <is>
          <t>Sveaskog</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29784-2026</t>
        </is>
      </c>
      <c r="B279" t="inlineStr">
        <is>
          <t>avverkningsanmälan</t>
        </is>
      </c>
      <c r="C279" t="inlineStr">
        <is>
          <t>Avverkning för annat ändamål</t>
        </is>
      </c>
      <c r="D279" s="1" t="n">
        <v>46204</v>
      </c>
      <c r="E279" s="1" t="n">
        <v>46222</v>
      </c>
      <c r="F279" t="inlineStr">
        <is>
          <t>ÖREBRO LÄN</t>
        </is>
      </c>
      <c r="G279" t="inlineStr">
        <is>
          <t>HALLSBERG</t>
        </is>
      </c>
      <c r="H279" t="inlineStr">
        <is>
          <t>Övriga Aktiebolag</t>
        </is>
      </c>
      <c r="I279" t="n">
        <v>7.5</v>
      </c>
      <c r="J279" t="n">
        <v>0</v>
      </c>
      <c r="K279" t="n">
        <v>0</v>
      </c>
      <c r="L279" t="n">
        <v>0</v>
      </c>
      <c r="M279" t="n">
        <v>0</v>
      </c>
      <c r="N279" t="n">
        <v>0</v>
      </c>
      <c r="O279" t="n">
        <v>0</v>
      </c>
      <c r="P279" t="n">
        <v>0</v>
      </c>
      <c r="Q279" t="n">
        <v>0</v>
      </c>
      <c r="R279" t="n">
        <v>0</v>
      </c>
      <c r="S279" t="n">
        <v>0</v>
      </c>
      <c r="T279" t="n">
        <v>0</v>
      </c>
      <c r="U279" s="2" t="inlineStr"/>
    </row>
    <row r="280" ht="15" customHeight="1">
      <c r="A280" t="inlineStr">
        <is>
          <t>A 46580-2024</t>
        </is>
      </c>
      <c r="B280" t="inlineStr">
        <is>
          <t>avverkningsanmälan</t>
        </is>
      </c>
      <c r="C280" t="inlineStr">
        <is>
          <t>Föryngringsavverkning</t>
        </is>
      </c>
      <c r="D280" s="1" t="n">
        <v>45582</v>
      </c>
      <c r="E280" s="1" t="n">
        <v>46222</v>
      </c>
      <c r="F280" t="inlineStr">
        <is>
          <t>ÖREBRO LÄN</t>
        </is>
      </c>
      <c r="G280" t="inlineStr">
        <is>
          <t>HALLSBERG</t>
        </is>
      </c>
      <c r="I280" t="n">
        <v>3.7</v>
      </c>
      <c r="J280" t="n">
        <v>0</v>
      </c>
      <c r="K280" t="n">
        <v>0</v>
      </c>
      <c r="L280" t="n">
        <v>0</v>
      </c>
      <c r="M280" t="n">
        <v>0</v>
      </c>
      <c r="N280" t="n">
        <v>0</v>
      </c>
      <c r="O280" t="n">
        <v>0</v>
      </c>
      <c r="P280" t="n">
        <v>0</v>
      </c>
      <c r="Q280" t="n">
        <v>0</v>
      </c>
      <c r="R280" t="n">
        <v>0</v>
      </c>
      <c r="S280" t="n">
        <v>0</v>
      </c>
      <c r="T280" t="n">
        <v>0</v>
      </c>
      <c r="U280" s="2" t="inlineStr"/>
    </row>
    <row r="281" ht="15" customHeight="1">
      <c r="A281" t="inlineStr">
        <is>
          <t>A 14288-2023</t>
        </is>
      </c>
      <c r="B281" t="inlineStr">
        <is>
          <t>avverkningsanmälan</t>
        </is>
      </c>
      <c r="C281" t="inlineStr">
        <is>
          <t>Föryngringsavverkning</t>
        </is>
      </c>
      <c r="D281" s="1" t="n">
        <v>45010</v>
      </c>
      <c r="E281" s="1" t="n">
        <v>46222</v>
      </c>
      <c r="F281" t="inlineStr">
        <is>
          <t>ÖREBRO LÄN</t>
        </is>
      </c>
      <c r="G281" t="inlineStr">
        <is>
          <t>HALLSBERG</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19751-2024</t>
        </is>
      </c>
      <c r="B282" t="inlineStr">
        <is>
          <t>avverkningsanmälan</t>
        </is>
      </c>
      <c r="C282" t="inlineStr">
        <is>
          <t>Avverkning för att bevara och utveckla /försöksver</t>
        </is>
      </c>
      <c r="D282" s="1" t="n">
        <v>45432</v>
      </c>
      <c r="E282" s="1" t="n">
        <v>46222</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29916-2026</t>
        </is>
      </c>
      <c r="B283" t="inlineStr">
        <is>
          <t>avverkningsanmälan</t>
        </is>
      </c>
      <c r="C283" t="inlineStr">
        <is>
          <t>Föryngringsavverkning</t>
        </is>
      </c>
      <c r="D283" s="1" t="n">
        <v>46205</v>
      </c>
      <c r="E283" s="1" t="n">
        <v>46222</v>
      </c>
      <c r="F283" t="inlineStr">
        <is>
          <t>ÖREBRO LÄN</t>
        </is>
      </c>
      <c r="G283" t="inlineStr">
        <is>
          <t>HALLSBERG</t>
        </is>
      </c>
      <c r="I283" t="n">
        <v>8.699999999999999</v>
      </c>
      <c r="J283" t="n">
        <v>0</v>
      </c>
      <c r="K283" t="n">
        <v>0</v>
      </c>
      <c r="L283" t="n">
        <v>0</v>
      </c>
      <c r="M283" t="n">
        <v>0</v>
      </c>
      <c r="N283" t="n">
        <v>0</v>
      </c>
      <c r="O283" t="n">
        <v>0</v>
      </c>
      <c r="P283" t="n">
        <v>0</v>
      </c>
      <c r="Q283" t="n">
        <v>0</v>
      </c>
      <c r="R283" t="n">
        <v>0</v>
      </c>
      <c r="S283" t="n">
        <v>0</v>
      </c>
      <c r="T283" t="n">
        <v>0</v>
      </c>
      <c r="U283" s="2" t="inlineStr"/>
    </row>
    <row r="284" ht="15" customHeight="1">
      <c r="A284" t="inlineStr">
        <is>
          <t>A 1413-2025</t>
        </is>
      </c>
      <c r="B284" t="inlineStr">
        <is>
          <t>avverkningsanmälan</t>
        </is>
      </c>
      <c r="C284" t="inlineStr">
        <is>
          <t>Föryngringsavverkning</t>
        </is>
      </c>
      <c r="D284" s="1" t="n">
        <v>45668</v>
      </c>
      <c r="E284" s="1" t="n">
        <v>46222</v>
      </c>
      <c r="F284" t="inlineStr">
        <is>
          <t>ÖREBRO LÄN</t>
        </is>
      </c>
      <c r="G284" t="inlineStr">
        <is>
          <t>HALLSBERG</t>
        </is>
      </c>
      <c r="I284" t="n">
        <v>5.6</v>
      </c>
      <c r="J284" t="n">
        <v>0</v>
      </c>
      <c r="K284" t="n">
        <v>0</v>
      </c>
      <c r="L284" t="n">
        <v>0</v>
      </c>
      <c r="M284" t="n">
        <v>0</v>
      </c>
      <c r="N284" t="n">
        <v>0</v>
      </c>
      <c r="O284" t="n">
        <v>0</v>
      </c>
      <c r="P284" t="n">
        <v>0</v>
      </c>
      <c r="Q284" t="n">
        <v>0</v>
      </c>
      <c r="R284" t="n">
        <v>0</v>
      </c>
      <c r="S284" t="n">
        <v>0</v>
      </c>
      <c r="T284" t="n">
        <v>0</v>
      </c>
      <c r="U284" s="2" t="inlineStr"/>
    </row>
    <row r="285" ht="15" customHeight="1">
      <c r="A285" t="inlineStr">
        <is>
          <t>A 46235-2023</t>
        </is>
      </c>
      <c r="B285" t="inlineStr">
        <is>
          <t>avverkningsanmälan</t>
        </is>
      </c>
      <c r="C285" t="inlineStr">
        <is>
          <t>Föryngringsavverkning</t>
        </is>
      </c>
      <c r="D285" s="1" t="n">
        <v>45196</v>
      </c>
      <c r="E285" s="1" t="n">
        <v>46222</v>
      </c>
      <c r="F285" t="inlineStr">
        <is>
          <t>ÖREBRO LÄN</t>
        </is>
      </c>
      <c r="G285" t="inlineStr">
        <is>
          <t>HALLSBERG</t>
        </is>
      </c>
      <c r="H285" t="inlineStr">
        <is>
          <t>Allmännings- och besparingsskogar</t>
        </is>
      </c>
      <c r="I285" t="n">
        <v>7</v>
      </c>
      <c r="J285" t="n">
        <v>0</v>
      </c>
      <c r="K285" t="n">
        <v>0</v>
      </c>
      <c r="L285" t="n">
        <v>0</v>
      </c>
      <c r="M285" t="n">
        <v>0</v>
      </c>
      <c r="N285" t="n">
        <v>0</v>
      </c>
      <c r="O285" t="n">
        <v>0</v>
      </c>
      <c r="P285" t="n">
        <v>0</v>
      </c>
      <c r="Q285" t="n">
        <v>0</v>
      </c>
      <c r="R285" t="n">
        <v>0</v>
      </c>
      <c r="S285" t="n">
        <v>0</v>
      </c>
      <c r="T285" t="n">
        <v>0</v>
      </c>
      <c r="U285" s="2" t="inlineStr"/>
    </row>
    <row r="286" ht="15" customHeight="1">
      <c r="A286" t="inlineStr">
        <is>
          <t>A 31290-2023</t>
        </is>
      </c>
      <c r="B286" t="inlineStr">
        <is>
          <t>avverkningsanmälan</t>
        </is>
      </c>
      <c r="C286" t="inlineStr">
        <is>
          <t>Föryngringsavverkning</t>
        </is>
      </c>
      <c r="D286" s="1" t="n">
        <v>45114</v>
      </c>
      <c r="E286" s="1" t="n">
        <v>46222</v>
      </c>
      <c r="F286" t="inlineStr">
        <is>
          <t>ÖREBRO LÄN</t>
        </is>
      </c>
      <c r="G286" t="inlineStr">
        <is>
          <t>HALLSBERG</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23928-2026</t>
        </is>
      </c>
      <c r="B287" t="inlineStr">
        <is>
          <t>avverkningsanmälan</t>
        </is>
      </c>
      <c r="C287" t="inlineStr">
        <is>
          <t>Föryngringsavverkning</t>
        </is>
      </c>
      <c r="D287" s="1" t="n">
        <v>46167</v>
      </c>
      <c r="E287" s="1" t="n">
        <v>46222</v>
      </c>
      <c r="F287" t="inlineStr">
        <is>
          <t>ÖREBRO LÄN</t>
        </is>
      </c>
      <c r="G287" t="inlineStr">
        <is>
          <t>HALLSBERG</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53012-2023</t>
        </is>
      </c>
      <c r="B288" t="inlineStr">
        <is>
          <t>avverkningsanmälan</t>
        </is>
      </c>
      <c r="C288" t="inlineStr">
        <is>
          <t>Avverkning för att bevara och utveckla /försöksver</t>
        </is>
      </c>
      <c r="D288" s="1" t="n">
        <v>45226</v>
      </c>
      <c r="E288" s="1" t="n">
        <v>46222</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9126-2022</t>
        </is>
      </c>
      <c r="B289" t="inlineStr">
        <is>
          <t>avverkningsanmälan</t>
        </is>
      </c>
      <c r="C289" t="inlineStr">
        <is>
          <t>Föryngringsavverkning</t>
        </is>
      </c>
      <c r="D289" s="1" t="n">
        <v>44615</v>
      </c>
      <c r="E289" s="1" t="n">
        <v>46222</v>
      </c>
      <c r="F289" t="inlineStr">
        <is>
          <t>ÖREBRO LÄN</t>
        </is>
      </c>
      <c r="G289" t="inlineStr">
        <is>
          <t>HALLSBERG</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34527-2024</t>
        </is>
      </c>
      <c r="B290" t="inlineStr">
        <is>
          <t>avverkningsanmälan</t>
        </is>
      </c>
      <c r="C290" t="inlineStr">
        <is>
          <t>Föryngringsavverkning</t>
        </is>
      </c>
      <c r="D290" s="1" t="n">
        <v>45525</v>
      </c>
      <c r="E290" s="1" t="n">
        <v>46222</v>
      </c>
      <c r="F290" t="inlineStr">
        <is>
          <t>ÖREBRO LÄN</t>
        </is>
      </c>
      <c r="G290" t="inlineStr">
        <is>
          <t>HALLSBERG</t>
        </is>
      </c>
      <c r="H290" t="inlineStr">
        <is>
          <t>Allmännings- och besparingsskogar</t>
        </is>
      </c>
      <c r="I290" t="n">
        <v>4.8</v>
      </c>
      <c r="J290" t="n">
        <v>0</v>
      </c>
      <c r="K290" t="n">
        <v>0</v>
      </c>
      <c r="L290" t="n">
        <v>0</v>
      </c>
      <c r="M290" t="n">
        <v>0</v>
      </c>
      <c r="N290" t="n">
        <v>0</v>
      </c>
      <c r="O290" t="n">
        <v>0</v>
      </c>
      <c r="P290" t="n">
        <v>0</v>
      </c>
      <c r="Q290" t="n">
        <v>0</v>
      </c>
      <c r="R290" t="n">
        <v>0</v>
      </c>
      <c r="S290" t="n">
        <v>0</v>
      </c>
      <c r="T290" t="n">
        <v>0</v>
      </c>
      <c r="U290" s="2" t="inlineStr"/>
    </row>
    <row r="291" ht="15" customHeight="1">
      <c r="A291" t="inlineStr">
        <is>
          <t>A 31082-2026</t>
        </is>
      </c>
      <c r="B291" t="inlineStr">
        <is>
          <t>avverkningsanmälan</t>
        </is>
      </c>
      <c r="C291" t="inlineStr">
        <is>
          <t>Föryngringsavverkning</t>
        </is>
      </c>
      <c r="D291" s="1" t="n">
        <v>46216</v>
      </c>
      <c r="E291" s="1" t="n">
        <v>46222</v>
      </c>
      <c r="F291" t="inlineStr">
        <is>
          <t>ÖREBRO LÄN</t>
        </is>
      </c>
      <c r="G291" t="inlineStr">
        <is>
          <t>HALLSBERG</t>
        </is>
      </c>
      <c r="H291" t="inlineStr">
        <is>
          <t>Sveaskog</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56270-2023</t>
        </is>
      </c>
      <c r="B292" t="inlineStr">
        <is>
          <t>avverkningsanmälan</t>
        </is>
      </c>
      <c r="C292" t="inlineStr">
        <is>
          <t>Föryngringsavverkning</t>
        </is>
      </c>
      <c r="D292" s="1" t="n">
        <v>45240</v>
      </c>
      <c r="E292" s="1" t="n">
        <v>46222</v>
      </c>
      <c r="F292" t="inlineStr">
        <is>
          <t>ÖREBRO LÄN</t>
        </is>
      </c>
      <c r="G292" t="inlineStr">
        <is>
          <t>HALLSBERG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31081-2026</t>
        </is>
      </c>
      <c r="B293" t="inlineStr">
        <is>
          <t>avverkningsanmälan</t>
        </is>
      </c>
      <c r="C293" t="inlineStr">
        <is>
          <t>Föryngringsavverkning</t>
        </is>
      </c>
      <c r="D293" s="1" t="n">
        <v>46216</v>
      </c>
      <c r="E293" s="1" t="n">
        <v>46222</v>
      </c>
      <c r="F293" t="inlineStr">
        <is>
          <t>ÖREBRO LÄN</t>
        </is>
      </c>
      <c r="G293" t="inlineStr">
        <is>
          <t>HALLSBERG</t>
        </is>
      </c>
      <c r="H293" t="inlineStr">
        <is>
          <t>Sveaskog</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31079-2026</t>
        </is>
      </c>
      <c r="B294" t="inlineStr">
        <is>
          <t>avverkningsanmälan</t>
        </is>
      </c>
      <c r="C294" t="inlineStr">
        <is>
          <t>Föryngringsavverkning</t>
        </is>
      </c>
      <c r="D294" s="1" t="n">
        <v>46216</v>
      </c>
      <c r="E294" s="1" t="n">
        <v>46222</v>
      </c>
      <c r="F294" t="inlineStr">
        <is>
          <t>ÖREBRO LÄN</t>
        </is>
      </c>
      <c r="G294" t="inlineStr">
        <is>
          <t>HALLSBERG</t>
        </is>
      </c>
      <c r="H294" t="inlineStr">
        <is>
          <t>Sveaskog</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60082-2023</t>
        </is>
      </c>
      <c r="B295" t="inlineStr">
        <is>
          <t>avverkningsanmälan</t>
        </is>
      </c>
      <c r="C295" t="inlineStr">
        <is>
          <t>Avverkning för att bevara och utveckla /försöksver</t>
        </is>
      </c>
      <c r="D295" s="1" t="n">
        <v>45258</v>
      </c>
      <c r="E295" s="1" t="n">
        <v>46222</v>
      </c>
      <c r="F295" t="inlineStr">
        <is>
          <t>ÖREBRO LÄN</t>
        </is>
      </c>
      <c r="G295" t="inlineStr">
        <is>
          <t>HALLSBERG</t>
        </is>
      </c>
      <c r="H295" t="inlineStr">
        <is>
          <t>Sveaskog</t>
        </is>
      </c>
      <c r="I295" t="n">
        <v>2.7</v>
      </c>
      <c r="J295" t="n">
        <v>0</v>
      </c>
      <c r="K295" t="n">
        <v>0</v>
      </c>
      <c r="L295" t="n">
        <v>0</v>
      </c>
      <c r="M295" t="n">
        <v>0</v>
      </c>
      <c r="N295" t="n">
        <v>0</v>
      </c>
      <c r="O295" t="n">
        <v>0</v>
      </c>
      <c r="P295" t="n">
        <v>0</v>
      </c>
      <c r="Q295" t="n">
        <v>0</v>
      </c>
      <c r="R295" t="n">
        <v>0</v>
      </c>
      <c r="S295" t="n">
        <v>0</v>
      </c>
      <c r="T295" t="n">
        <v>0</v>
      </c>
      <c r="U295" s="2" t="inlineStr"/>
    </row>
    <row r="296" ht="15" customHeight="1">
      <c r="A296" t="inlineStr">
        <is>
          <t>A 25119-2026</t>
        </is>
      </c>
      <c r="B296" t="inlineStr">
        <is>
          <t>avverkningsanmälan</t>
        </is>
      </c>
      <c r="C296" t="inlineStr">
        <is>
          <t>Föryngringsavverkning</t>
        </is>
      </c>
      <c r="D296" s="1" t="n">
        <v>46175</v>
      </c>
      <c r="E296" s="1" t="n">
        <v>46222</v>
      </c>
      <c r="F296" t="inlineStr">
        <is>
          <t>ÖREBRO LÄN</t>
        </is>
      </c>
      <c r="G296" t="inlineStr">
        <is>
          <t>HALLSBERG</t>
        </is>
      </c>
      <c r="I296" t="n">
        <v>4.8</v>
      </c>
      <c r="J296" t="n">
        <v>0</v>
      </c>
      <c r="K296" t="n">
        <v>0</v>
      </c>
      <c r="L296" t="n">
        <v>0</v>
      </c>
      <c r="M296" t="n">
        <v>0</v>
      </c>
      <c r="N296" t="n">
        <v>0</v>
      </c>
      <c r="O296" t="n">
        <v>0</v>
      </c>
      <c r="P296" t="n">
        <v>0</v>
      </c>
      <c r="Q296" t="n">
        <v>0</v>
      </c>
      <c r="R296" t="n">
        <v>0</v>
      </c>
      <c r="S296" t="n">
        <v>0</v>
      </c>
      <c r="T296" t="n">
        <v>0</v>
      </c>
      <c r="U296" s="2" t="inlineStr"/>
    </row>
    <row r="297" ht="15" customHeight="1">
      <c r="A297" t="inlineStr">
        <is>
          <t>A 9569-2023</t>
        </is>
      </c>
      <c r="B297" t="inlineStr">
        <is>
          <t>avverkningsanmälan</t>
        </is>
      </c>
      <c r="C297" t="inlineStr">
        <is>
          <t>Föryngringsavverkning</t>
        </is>
      </c>
      <c r="D297" s="1" t="n">
        <v>44982</v>
      </c>
      <c r="E297" s="1" t="n">
        <v>46222</v>
      </c>
      <c r="F297" t="inlineStr">
        <is>
          <t>ÖREBRO LÄN</t>
        </is>
      </c>
      <c r="G297" t="inlineStr">
        <is>
          <t>HALLSBERG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50891-2024</t>
        </is>
      </c>
      <c r="B298" t="inlineStr">
        <is>
          <t>avverkningsanmälan</t>
        </is>
      </c>
      <c r="C298" t="inlineStr">
        <is>
          <t>Föryngringsavverkning</t>
        </is>
      </c>
      <c r="D298" s="1" t="n">
        <v>45602</v>
      </c>
      <c r="E298" s="1" t="n">
        <v>46222</v>
      </c>
      <c r="F298" t="inlineStr">
        <is>
          <t>ÖREBRO LÄN</t>
        </is>
      </c>
      <c r="G298" t="inlineStr">
        <is>
          <t>HALLSBERG</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17700-2025</t>
        </is>
      </c>
      <c r="B299" t="inlineStr">
        <is>
          <t>avverkningsanmälan</t>
        </is>
      </c>
      <c r="C299" t="inlineStr">
        <is>
          <t>Föryngringsavverkning</t>
        </is>
      </c>
      <c r="D299" s="1" t="n">
        <v>45758</v>
      </c>
      <c r="E299" s="1" t="n">
        <v>46222</v>
      </c>
      <c r="F299" t="inlineStr">
        <is>
          <t>ÖREBRO LÄN</t>
        </is>
      </c>
      <c r="G299" t="inlineStr">
        <is>
          <t>HALLSBERG</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40968-2023</t>
        </is>
      </c>
      <c r="B300" t="inlineStr">
        <is>
          <t>avverkningsanmälan</t>
        </is>
      </c>
      <c r="C300" t="inlineStr">
        <is>
          <t>Avverkning för att bevara och utveckla /försöksver</t>
        </is>
      </c>
      <c r="D300" s="1" t="n">
        <v>45173</v>
      </c>
      <c r="E300" s="1" t="n">
        <v>46222</v>
      </c>
      <c r="F300" t="inlineStr">
        <is>
          <t>ÖREBRO LÄN</t>
        </is>
      </c>
      <c r="G300" t="inlineStr">
        <is>
          <t>HALLSBERG</t>
        </is>
      </c>
      <c r="H300" t="inlineStr">
        <is>
          <t>Sveaskog</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46863-2024</t>
        </is>
      </c>
      <c r="B301" t="inlineStr">
        <is>
          <t>avverkningsanmälan</t>
        </is>
      </c>
      <c r="C301" t="inlineStr">
        <is>
          <t>Föryngringsavverkning</t>
        </is>
      </c>
      <c r="D301" s="1" t="n">
        <v>45583</v>
      </c>
      <c r="E301" s="1" t="n">
        <v>46222</v>
      </c>
      <c r="F301" t="inlineStr">
        <is>
          <t>ÖREBRO LÄN</t>
        </is>
      </c>
      <c r="G301" t="inlineStr">
        <is>
          <t>HALLSBERG</t>
        </is>
      </c>
      <c r="H301" t="inlineStr">
        <is>
          <t>Sveaskog</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17003-2022</t>
        </is>
      </c>
      <c r="B302" t="inlineStr">
        <is>
          <t>avverkningsanmälan</t>
        </is>
      </c>
      <c r="C302" t="inlineStr">
        <is>
          <t>Föryngringsavverkning</t>
        </is>
      </c>
      <c r="D302" s="1" t="n">
        <v>44676</v>
      </c>
      <c r="E302" s="1" t="n">
        <v>46222</v>
      </c>
      <c r="F302" t="inlineStr">
        <is>
          <t>ÖREBRO LÄN</t>
        </is>
      </c>
      <c r="G302" t="inlineStr">
        <is>
          <t>HALLSBERG</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56271-2023</t>
        </is>
      </c>
      <c r="B303" t="inlineStr">
        <is>
          <t>avverkningsanmälan</t>
        </is>
      </c>
      <c r="C303" t="inlineStr">
        <is>
          <t>Föryngringsavverkning</t>
        </is>
      </c>
      <c r="D303" s="1" t="n">
        <v>45240</v>
      </c>
      <c r="E303" s="1" t="n">
        <v>46222</v>
      </c>
      <c r="F303" t="inlineStr">
        <is>
          <t>ÖREBRO LÄN</t>
        </is>
      </c>
      <c r="G303" t="inlineStr">
        <is>
          <t>HALLSBERG</t>
        </is>
      </c>
      <c r="I303" t="n">
        <v>6.2</v>
      </c>
      <c r="J303" t="n">
        <v>0</v>
      </c>
      <c r="K303" t="n">
        <v>0</v>
      </c>
      <c r="L303" t="n">
        <v>0</v>
      </c>
      <c r="M303" t="n">
        <v>0</v>
      </c>
      <c r="N303" t="n">
        <v>0</v>
      </c>
      <c r="O303" t="n">
        <v>0</v>
      </c>
      <c r="P303" t="n">
        <v>0</v>
      </c>
      <c r="Q303" t="n">
        <v>0</v>
      </c>
      <c r="R303" t="n">
        <v>0</v>
      </c>
      <c r="S303" t="n">
        <v>0</v>
      </c>
      <c r="T303" t="n">
        <v>0</v>
      </c>
      <c r="U303" s="2" t="inlineStr"/>
    </row>
    <row r="304" ht="15" customHeight="1">
      <c r="A304" t="inlineStr">
        <is>
          <t>A 52710-2023</t>
        </is>
      </c>
      <c r="B304" t="inlineStr">
        <is>
          <t>avverkningsanmälan</t>
        </is>
      </c>
      <c r="C304" t="inlineStr">
        <is>
          <t>Föryngringsavverkning</t>
        </is>
      </c>
      <c r="D304" s="1" t="n">
        <v>45225</v>
      </c>
      <c r="E304" s="1" t="n">
        <v>46222</v>
      </c>
      <c r="F304" t="inlineStr">
        <is>
          <t>ÖREBRO LÄN</t>
        </is>
      </c>
      <c r="G304" t="inlineStr">
        <is>
          <t>HALLSBERG</t>
        </is>
      </c>
      <c r="I304" t="n">
        <v>3.6</v>
      </c>
      <c r="J304" t="n">
        <v>0</v>
      </c>
      <c r="K304" t="n">
        <v>0</v>
      </c>
      <c r="L304" t="n">
        <v>0</v>
      </c>
      <c r="M304" t="n">
        <v>0</v>
      </c>
      <c r="N304" t="n">
        <v>0</v>
      </c>
      <c r="O304" t="n">
        <v>0</v>
      </c>
      <c r="P304" t="n">
        <v>0</v>
      </c>
      <c r="Q304" t="n">
        <v>0</v>
      </c>
      <c r="R304" t="n">
        <v>0</v>
      </c>
      <c r="S304" t="n">
        <v>0</v>
      </c>
      <c r="T304" t="n">
        <v>0</v>
      </c>
      <c r="U304" s="2" t="inlineStr"/>
    </row>
    <row r="305" ht="15" customHeight="1">
      <c r="A305" t="inlineStr">
        <is>
          <t>A 32536-2024</t>
        </is>
      </c>
      <c r="B305" t="inlineStr">
        <is>
          <t>avverkningsanmälan</t>
        </is>
      </c>
      <c r="C305" t="inlineStr">
        <is>
          <t>Föryngringsavverkning</t>
        </is>
      </c>
      <c r="D305" s="1" t="n">
        <v>45513</v>
      </c>
      <c r="E305" s="1" t="n">
        <v>46222</v>
      </c>
      <c r="F305" t="inlineStr">
        <is>
          <t>ÖREBRO LÄN</t>
        </is>
      </c>
      <c r="G305" t="inlineStr">
        <is>
          <t>HALLSBERG</t>
        </is>
      </c>
      <c r="I305" t="n">
        <v>3.4</v>
      </c>
      <c r="J305" t="n">
        <v>0</v>
      </c>
      <c r="K305" t="n">
        <v>0</v>
      </c>
      <c r="L305" t="n">
        <v>0</v>
      </c>
      <c r="M305" t="n">
        <v>0</v>
      </c>
      <c r="N305" t="n">
        <v>0</v>
      </c>
      <c r="O305" t="n">
        <v>0</v>
      </c>
      <c r="P305" t="n">
        <v>0</v>
      </c>
      <c r="Q305" t="n">
        <v>0</v>
      </c>
      <c r="R305" t="n">
        <v>0</v>
      </c>
      <c r="S305" t="n">
        <v>0</v>
      </c>
      <c r="T305" t="n">
        <v>0</v>
      </c>
      <c r="U305" s="2" t="inlineStr"/>
    </row>
    <row r="306" ht="15" customHeight="1">
      <c r="A306" t="inlineStr">
        <is>
          <t>A 41595-2022</t>
        </is>
      </c>
      <c r="B306" t="inlineStr">
        <is>
          <t>avverkningsanmälan</t>
        </is>
      </c>
      <c r="C306" t="inlineStr">
        <is>
          <t>Föryngringsavverkning</t>
        </is>
      </c>
      <c r="D306" s="1" t="n">
        <v>44827</v>
      </c>
      <c r="E306" s="1" t="n">
        <v>46222</v>
      </c>
      <c r="F306" t="inlineStr">
        <is>
          <t>ÖREBRO LÄN</t>
        </is>
      </c>
      <c r="G306" t="inlineStr">
        <is>
          <t>HALLSBERG</t>
        </is>
      </c>
      <c r="H306" t="inlineStr">
        <is>
          <t>Kommuner</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53247-2024</t>
        </is>
      </c>
      <c r="B307" t="inlineStr">
        <is>
          <t>avverkningsanmälan</t>
        </is>
      </c>
      <c r="C307" t="inlineStr">
        <is>
          <t>Föryngringsavverkning</t>
        </is>
      </c>
      <c r="D307" s="1" t="n">
        <v>45614</v>
      </c>
      <c r="E307" s="1" t="n">
        <v>46222</v>
      </c>
      <c r="F307" t="inlineStr">
        <is>
          <t>ÖREBRO LÄN</t>
        </is>
      </c>
      <c r="G307" t="inlineStr">
        <is>
          <t>HALLSBERG</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19750-2024</t>
        </is>
      </c>
      <c r="B308" t="inlineStr">
        <is>
          <t>avverkningsanmälan</t>
        </is>
      </c>
      <c r="C308" t="inlineStr">
        <is>
          <t>Avverkning för att bevara och utveckla /försöksver</t>
        </is>
      </c>
      <c r="D308" s="1" t="n">
        <v>45432</v>
      </c>
      <c r="E308" s="1" t="n">
        <v>46222</v>
      </c>
      <c r="F308" t="inlineStr">
        <is>
          <t>ÖREBRO LÄN</t>
        </is>
      </c>
      <c r="G308" t="inlineStr">
        <is>
          <t>HALLSBERG</t>
        </is>
      </c>
      <c r="H308" t="inlineStr">
        <is>
          <t>Sveaskog</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44616-2024</t>
        </is>
      </c>
      <c r="B309" t="inlineStr">
        <is>
          <t>avverkningsanmälan</t>
        </is>
      </c>
      <c r="C309" t="inlineStr">
        <is>
          <t>Föryngringsavverkning</t>
        </is>
      </c>
      <c r="D309" s="1" t="n">
        <v>45574</v>
      </c>
      <c r="E309" s="1" t="n">
        <v>46222</v>
      </c>
      <c r="F309" t="inlineStr">
        <is>
          <t>ÖREBRO LÄN</t>
        </is>
      </c>
      <c r="G309" t="inlineStr">
        <is>
          <t>HALLSBERG</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S 3018-2022</t>
        </is>
      </c>
      <c r="B310" t="inlineStr">
        <is>
          <t>samrådsanmälan</t>
        </is>
      </c>
      <c r="C310" t="inlineStr">
        <is>
          <t>Annan skogsbruksåtgärd</t>
        </is>
      </c>
      <c r="D310" s="1" t="n">
        <v>44714</v>
      </c>
      <c r="E310" s="1" t="n">
        <v>46222</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S 853-2022</t>
        </is>
      </c>
      <c r="B311" t="inlineStr">
        <is>
          <t>samrådsanmälan</t>
        </is>
      </c>
      <c r="C311" t="inlineStr">
        <is>
          <t>Skogsgödsling</t>
        </is>
      </c>
      <c r="D311" s="1" t="n">
        <v>44606</v>
      </c>
      <c r="E311" s="1" t="n">
        <v>46222</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s="2" t="inlineStr"/>
    </row>
    <row r="312" ht="15" customHeight="1">
      <c r="A312" t="inlineStr">
        <is>
          <t>S 3191-2022</t>
        </is>
      </c>
      <c r="B312" t="inlineStr">
        <is>
          <t>samrådsanmälan</t>
        </is>
      </c>
      <c r="C312" t="inlineStr">
        <is>
          <t>Annan skogsbruksåtgärd</t>
        </is>
      </c>
      <c r="D312" s="1" t="n">
        <v>44722</v>
      </c>
      <c r="E312" s="1" t="n">
        <v>46222</v>
      </c>
      <c r="F312" t="inlineStr">
        <is>
          <t>ÖREBRO LÄN</t>
        </is>
      </c>
      <c r="G312" t="inlineStr">
        <is>
          <t>HALLSBERG</t>
        </is>
      </c>
      <c r="H312" t="inlineStr">
        <is>
          <t>Sveaskog</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S 2235-2023</t>
        </is>
      </c>
      <c r="B313" t="inlineStr">
        <is>
          <t>samrådsanmälan</t>
        </is>
      </c>
      <c r="C313" t="inlineStr">
        <is>
          <t>Askåterföring</t>
        </is>
      </c>
      <c r="D313" s="1" t="n">
        <v>45111</v>
      </c>
      <c r="E313" s="1" t="n">
        <v>46222</v>
      </c>
      <c r="F313" t="inlineStr">
        <is>
          <t>ÖREBRO LÄN</t>
        </is>
      </c>
      <c r="G313" t="inlineStr">
        <is>
          <t>HALLSBERG</t>
        </is>
      </c>
      <c r="I313" t="n">
        <v>53.1</v>
      </c>
      <c r="J313" t="n">
        <v>0</v>
      </c>
      <c r="K313" t="n">
        <v>0</v>
      </c>
      <c r="L313" t="n">
        <v>0</v>
      </c>
      <c r="M313" t="n">
        <v>0</v>
      </c>
      <c r="N313" t="n">
        <v>0</v>
      </c>
      <c r="O313" t="n">
        <v>0</v>
      </c>
      <c r="P313" t="n">
        <v>0</v>
      </c>
      <c r="Q313" t="n">
        <v>0</v>
      </c>
      <c r="R313" t="n">
        <v>0</v>
      </c>
      <c r="S313" t="n">
        <v>0</v>
      </c>
      <c r="T313" t="n">
        <v>0</v>
      </c>
      <c r="U313" s="2" t="inlineStr"/>
    </row>
    <row r="314" ht="15" customHeight="1">
      <c r="A314" t="inlineStr">
        <is>
          <t>S 4287-2023</t>
        </is>
      </c>
      <c r="B314" t="inlineStr">
        <is>
          <t>samrådsanmälan</t>
        </is>
      </c>
      <c r="C314" t="inlineStr">
        <is>
          <t>Annan skogsbruksåtgärd</t>
        </is>
      </c>
      <c r="D314" s="1" t="n">
        <v>45258</v>
      </c>
      <c r="E314" s="1" t="n">
        <v>46222</v>
      </c>
      <c r="F314" t="inlineStr">
        <is>
          <t>ÖREBRO LÄN</t>
        </is>
      </c>
      <c r="G314" t="inlineStr">
        <is>
          <t>HALLSBERG</t>
        </is>
      </c>
      <c r="H314" t="inlineStr">
        <is>
          <t>Sveaskog</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S 3014-2022</t>
        </is>
      </c>
      <c r="B315" t="inlineStr">
        <is>
          <t>samrådsanmälan</t>
        </is>
      </c>
      <c r="C315" t="inlineStr">
        <is>
          <t>Annan skogsbruksåtgärd</t>
        </is>
      </c>
      <c r="D315" s="1" t="n">
        <v>44714</v>
      </c>
      <c r="E315" s="1" t="n">
        <v>46222</v>
      </c>
      <c r="F315" t="inlineStr">
        <is>
          <t>ÖREBRO LÄN</t>
        </is>
      </c>
      <c r="G315" t="inlineStr">
        <is>
          <t>HALLSBERG</t>
        </is>
      </c>
      <c r="H315" t="inlineStr">
        <is>
          <t>Sveaskog</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S 3712-2022</t>
        </is>
      </c>
      <c r="B316" t="inlineStr">
        <is>
          <t>samrådsanmälan</t>
        </is>
      </c>
      <c r="C316" t="inlineStr">
        <is>
          <t>Annan skogsbruksåtgärd</t>
        </is>
      </c>
      <c r="D316" s="1" t="n">
        <v>44740</v>
      </c>
      <c r="E316" s="1" t="n">
        <v>46222</v>
      </c>
      <c r="F316" t="inlineStr">
        <is>
          <t>ÖREBRO LÄN</t>
        </is>
      </c>
      <c r="G316" t="inlineStr">
        <is>
          <t>HALLSBERG</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S 2898-2025</t>
        </is>
      </c>
      <c r="B317" t="inlineStr">
        <is>
          <t>samrådsanmälan</t>
        </is>
      </c>
      <c r="C317" t="inlineStr">
        <is>
          <t>Annan skogsbruksåtgärd</t>
        </is>
      </c>
      <c r="D317" s="1" t="n">
        <v>45946</v>
      </c>
      <c r="E317" s="1" t="n">
        <v>46222</v>
      </c>
      <c r="F317" t="inlineStr">
        <is>
          <t>ÖREBRO LÄN</t>
        </is>
      </c>
      <c r="G317" t="inlineStr">
        <is>
          <t>HALLSBERG</t>
        </is>
      </c>
      <c r="H317" t="inlineStr">
        <is>
          <t>Sveaskog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S 3184-2025</t>
        </is>
      </c>
      <c r="B318" t="inlineStr">
        <is>
          <t>samrådsanmälan</t>
        </is>
      </c>
      <c r="C318" t="inlineStr">
        <is>
          <t>Annan skogsbruksåtgärd</t>
        </is>
      </c>
      <c r="D318" s="1" t="n">
        <v>45978</v>
      </c>
      <c r="E318" s="1" t="n">
        <v>46222</v>
      </c>
      <c r="F318" t="inlineStr">
        <is>
          <t>ÖREBRO LÄN</t>
        </is>
      </c>
      <c r="G318" t="inlineStr">
        <is>
          <t>HALLSBERG</t>
        </is>
      </c>
      <c r="H318" t="inlineStr">
        <is>
          <t>Sveaskog</t>
        </is>
      </c>
      <c r="I318" t="n">
        <v>0.9</v>
      </c>
      <c r="J318" t="n">
        <v>0</v>
      </c>
      <c r="K318" t="n">
        <v>0</v>
      </c>
      <c r="L318" t="n">
        <v>0</v>
      </c>
      <c r="M318" t="n">
        <v>0</v>
      </c>
      <c r="N318" t="n">
        <v>0</v>
      </c>
      <c r="O318" t="n">
        <v>0</v>
      </c>
      <c r="P318" t="n">
        <v>0</v>
      </c>
      <c r="Q318" t="n">
        <v>0</v>
      </c>
      <c r="R318" t="n">
        <v>0</v>
      </c>
      <c r="S318" t="n">
        <v>0</v>
      </c>
      <c r="T318" t="n">
        <v>0</v>
      </c>
      <c r="U318" s="2" t="inlineStr"/>
    </row>
    <row r="319">
      <c r="A319" t="inlineStr">
        <is>
          <t>S 3364-2025</t>
        </is>
      </c>
      <c r="B319" t="inlineStr">
        <is>
          <t>samrådsanmälan</t>
        </is>
      </c>
      <c r="C319" t="inlineStr">
        <is>
          <t>Annan skogsbruksåtgärd</t>
        </is>
      </c>
      <c r="D319" s="1" t="n">
        <v>45992</v>
      </c>
      <c r="E319" s="1" t="n">
        <v>46222</v>
      </c>
      <c r="F319" t="inlineStr">
        <is>
          <t>ÖREBRO LÄN</t>
        </is>
      </c>
      <c r="G319" t="inlineStr">
        <is>
          <t>HALLSBERG</t>
        </is>
      </c>
      <c r="I319" t="n">
        <v>1.3</v>
      </c>
      <c r="J319" t="n">
        <v>0</v>
      </c>
      <c r="K319" t="n">
        <v>0</v>
      </c>
      <c r="L319" t="n">
        <v>0</v>
      </c>
      <c r="M319" t="n">
        <v>0</v>
      </c>
      <c r="N319" t="n">
        <v>0</v>
      </c>
      <c r="O319" t="n">
        <v>0</v>
      </c>
      <c r="P319" t="n">
        <v>0</v>
      </c>
      <c r="Q319" t="n">
        <v>0</v>
      </c>
      <c r="R319" t="n">
        <v>0</v>
      </c>
      <c r="S319" t="n">
        <v>0</v>
      </c>
      <c r="T319" t="n">
        <v>0</v>
      </c>
      <c r="U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2026-07-19T01:37:13Z</dcterms:created>
  <dcterms:modified xmlns:dcterms="http://purl.org/dc/terms/" xmlns:xsi="http://www.w3.org/2001/XMLSchema-instance" xsi:type="dcterms:W3CDTF">2026-07-19T01:37:14Z</dcterms:modified>
</cp:coreProperties>
</file>