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45581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45581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45581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45581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45581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45581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45581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45581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45581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45581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45581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45581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45581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45581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45581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45581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35654-2019</t>
        </is>
      </c>
      <c r="B27" s="1" t="n">
        <v>43655</v>
      </c>
      <c r="C27" s="1" t="n">
        <v>45581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HYPERLINK("https://klasma.github.io/Logging_1861/artfynd/A 35654-2019 artfynd.xlsx", "A 35654-2019")</f>
        <v/>
      </c>
      <c r="T27">
        <f>HYPERLINK("https://klasma.github.io/Logging_1861/kartor/A 35654-2019 karta.png", "A 35654-2019")</f>
        <v/>
      </c>
      <c r="V27">
        <f>HYPERLINK("https://klasma.github.io/Logging_1861/klagomål/A 35654-2019 FSC-klagomål.docx", "A 35654-2019")</f>
        <v/>
      </c>
      <c r="W27">
        <f>HYPERLINK("https://klasma.github.io/Logging_1861/klagomålsmail/A 35654-2019 FSC-klagomål mail.docx", "A 35654-2019")</f>
        <v/>
      </c>
      <c r="X27">
        <f>HYPERLINK("https://klasma.github.io/Logging_1861/tillsyn/A 35654-2019 tillsynsbegäran.docx", "A 35654-2019")</f>
        <v/>
      </c>
      <c r="Y27">
        <f>HYPERLINK("https://klasma.github.io/Logging_1861/tillsynsmail/A 35654-2019 tillsynsbegäran mail.docx", "A 35654-2019")</f>
        <v/>
      </c>
    </row>
    <row r="28" ht="15" customHeight="1">
      <c r="A28" t="inlineStr">
        <is>
          <t>A 38446-2019</t>
        </is>
      </c>
      <c r="B28" s="1" t="n">
        <v>43685</v>
      </c>
      <c r="C28" s="1" t="n">
        <v>45581</v>
      </c>
      <c r="D28" t="inlineStr">
        <is>
          <t>ÖREBRO LÄN</t>
        </is>
      </c>
      <c r="E28" t="inlineStr">
        <is>
          <t>HALLSBERG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HYPERLINK("https://klasma.github.io/Logging_1861/artfynd/A 38446-2019 artfynd.xlsx", "A 38446-2019")</f>
        <v/>
      </c>
      <c r="T28">
        <f>HYPERLINK("https://klasma.github.io/Logging_1861/kartor/A 38446-2019 karta.png", "A 38446-2019")</f>
        <v/>
      </c>
      <c r="V28">
        <f>HYPERLINK("https://klasma.github.io/Logging_1861/klagomål/A 38446-2019 FSC-klagomål.docx", "A 38446-2019")</f>
        <v/>
      </c>
      <c r="W28">
        <f>HYPERLINK("https://klasma.github.io/Logging_1861/klagomålsmail/A 38446-2019 FSC-klagomål mail.docx", "A 38446-2019")</f>
        <v/>
      </c>
      <c r="X28">
        <f>HYPERLINK("https://klasma.github.io/Logging_1861/tillsyn/A 38446-2019 tillsynsbegäran.docx", "A 38446-2019")</f>
        <v/>
      </c>
      <c r="Y28">
        <f>HYPERLINK("https://klasma.github.io/Logging_1861/tillsynsmail/A 38446-2019 tillsynsbegäran mail.docx", "A 38446-2019")</f>
        <v/>
      </c>
    </row>
    <row r="29" ht="15" customHeight="1">
      <c r="A29" t="inlineStr">
        <is>
          <t>A 20974-2020</t>
        </is>
      </c>
      <c r="B29" s="1" t="n">
        <v>43950</v>
      </c>
      <c r="C29" s="1" t="n">
        <v>45581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HYPERLINK("https://klasma.github.io/Logging_1861/artfynd/A 20974-2020 artfynd.xlsx", "A 20974-2020")</f>
        <v/>
      </c>
      <c r="T29">
        <f>HYPERLINK("https://klasma.github.io/Logging_1861/kartor/A 20974-2020 karta.png", "A 20974-2020")</f>
        <v/>
      </c>
      <c r="V29">
        <f>HYPERLINK("https://klasma.github.io/Logging_1861/klagomål/A 20974-2020 FSC-klagomål.docx", "A 20974-2020")</f>
        <v/>
      </c>
      <c r="W29">
        <f>HYPERLINK("https://klasma.github.io/Logging_1861/klagomålsmail/A 20974-2020 FSC-klagomål mail.docx", "A 20974-2020")</f>
        <v/>
      </c>
      <c r="X29">
        <f>HYPERLINK("https://klasma.github.io/Logging_1861/tillsyn/A 20974-2020 tillsynsbegäran.docx", "A 20974-2020")</f>
        <v/>
      </c>
      <c r="Y29">
        <f>HYPERLINK("https://klasma.github.io/Logging_1861/tillsynsmail/A 20974-2020 tillsynsbegäran mail.docx", "A 20974-2020")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45581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47314-2020</t>
        </is>
      </c>
      <c r="B31" s="1" t="n">
        <v>44097</v>
      </c>
      <c r="C31" s="1" t="n">
        <v>45581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HYPERLINK("https://klasma.github.io/Logging_1861/artfynd/A 47314-2020 artfynd.xlsx", "A 47314-2020")</f>
        <v/>
      </c>
      <c r="T31">
        <f>HYPERLINK("https://klasma.github.io/Logging_1861/kartor/A 47314-2020 karta.png", "A 47314-2020")</f>
        <v/>
      </c>
      <c r="V31">
        <f>HYPERLINK("https://klasma.github.io/Logging_1861/klagomål/A 47314-2020 FSC-klagomål.docx", "A 47314-2020")</f>
        <v/>
      </c>
      <c r="W31">
        <f>HYPERLINK("https://klasma.github.io/Logging_1861/klagomålsmail/A 47314-2020 FSC-klagomål mail.docx", "A 47314-2020")</f>
        <v/>
      </c>
      <c r="X31">
        <f>HYPERLINK("https://klasma.github.io/Logging_1861/tillsyn/A 47314-2020 tillsynsbegäran.docx", "A 47314-2020")</f>
        <v/>
      </c>
      <c r="Y31">
        <f>HYPERLINK("https://klasma.github.io/Logging_1861/tillsynsmail/A 47314-2020 tillsynsbegäran mail.docx", "A 47314-2020")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45581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45581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19854-2022</t>
        </is>
      </c>
      <c r="B34" s="1" t="n">
        <v>44697</v>
      </c>
      <c r="C34" s="1" t="n">
        <v>45581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HYPERLINK("https://klasma.github.io/Logging_1861/artfynd/A 19854-2022 artfynd.xlsx", "A 19854-2022")</f>
        <v/>
      </c>
      <c r="T34">
        <f>HYPERLINK("https://klasma.github.io/Logging_1861/kartor/A 19854-2022 karta.png", "A 19854-2022")</f>
        <v/>
      </c>
      <c r="V34">
        <f>HYPERLINK("https://klasma.github.io/Logging_1861/klagomål/A 19854-2022 FSC-klagomål.docx", "A 19854-2022")</f>
        <v/>
      </c>
      <c r="W34">
        <f>HYPERLINK("https://klasma.github.io/Logging_1861/klagomålsmail/A 19854-2022 FSC-klagomål mail.docx", "A 19854-2022")</f>
        <v/>
      </c>
      <c r="X34">
        <f>HYPERLINK("https://klasma.github.io/Logging_1861/tillsyn/A 19854-2022 tillsynsbegäran.docx", "A 19854-2022")</f>
        <v/>
      </c>
      <c r="Y34">
        <f>HYPERLINK("https://klasma.github.io/Logging_1861/tillsynsmail/A 19854-2022 tillsynsbegäran mail.docx", "A 19854-2022")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45581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</row>
    <row r="36" ht="15" customHeight="1">
      <c r="A36" t="inlineStr">
        <is>
          <t>A 49670-2022</t>
        </is>
      </c>
      <c r="B36" s="1" t="n">
        <v>44862</v>
      </c>
      <c r="C36" s="1" t="n">
        <v>45581</v>
      </c>
      <c r="D36" t="inlineStr">
        <is>
          <t>ÖREBRO LÄN</t>
        </is>
      </c>
      <c r="E36" t="inlineStr">
        <is>
          <t>HALLSBERG</t>
        </is>
      </c>
      <c r="G36" t="n">
        <v>7.1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HYPERLINK("https://klasma.github.io/Logging_1861/artfynd/A 49670-2022 artfynd.xlsx", "A 49670-2022")</f>
        <v/>
      </c>
      <c r="T36">
        <f>HYPERLINK("https://klasma.github.io/Logging_1861/kartor/A 49670-2022 karta.png", "A 49670-2022")</f>
        <v/>
      </c>
      <c r="U36">
        <f>HYPERLINK("https://klasma.github.io/Logging_1861/knärot/A 49670-2022 karta knärot.png", "A 49670-2022")</f>
        <v/>
      </c>
      <c r="V36">
        <f>HYPERLINK("https://klasma.github.io/Logging_1861/klagomål/A 49670-2022 FSC-klagomål.docx", "A 49670-2022")</f>
        <v/>
      </c>
      <c r="W36">
        <f>HYPERLINK("https://klasma.github.io/Logging_1861/klagomålsmail/A 49670-2022 FSC-klagomål mail.docx", "A 49670-2022")</f>
        <v/>
      </c>
      <c r="X36">
        <f>HYPERLINK("https://klasma.github.io/Logging_1861/tillsyn/A 49670-2022 tillsynsbegäran.docx", "A 49670-2022")</f>
        <v/>
      </c>
      <c r="Y36">
        <f>HYPERLINK("https://klasma.github.io/Logging_1861/tillsynsmail/A 49670-2022 tillsynsbegäran mail.docx", "A 49670-2022")</f>
        <v/>
      </c>
    </row>
    <row r="37" ht="15" customHeight="1">
      <c r="A37" t="inlineStr">
        <is>
          <t>A 49576-2022</t>
        </is>
      </c>
      <c r="B37" s="1" t="n">
        <v>44862</v>
      </c>
      <c r="C37" s="1" t="n">
        <v>45581</v>
      </c>
      <c r="D37" t="inlineStr">
        <is>
          <t>ÖREBRO LÄN</t>
        </is>
      </c>
      <c r="E37" t="inlineStr">
        <is>
          <t>HALLSBERG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49576-2022 artfynd.xlsx", "A 49576-2022")</f>
        <v/>
      </c>
      <c r="T37">
        <f>HYPERLINK("https://klasma.github.io/Logging_1861/kartor/A 49576-2022 karta.png", "A 49576-2022")</f>
        <v/>
      </c>
      <c r="V37">
        <f>HYPERLINK("https://klasma.github.io/Logging_1861/klagomål/A 49576-2022 FSC-klagomål.docx", "A 49576-2022")</f>
        <v/>
      </c>
      <c r="W37">
        <f>HYPERLINK("https://klasma.github.io/Logging_1861/klagomålsmail/A 49576-2022 FSC-klagomål mail.docx", "A 49576-2022")</f>
        <v/>
      </c>
      <c r="X37">
        <f>HYPERLINK("https://klasma.github.io/Logging_1861/tillsyn/A 49576-2022 tillsynsbegäran.docx", "A 49576-2022")</f>
        <v/>
      </c>
      <c r="Y37">
        <f>HYPERLINK("https://klasma.github.io/Logging_1861/tillsynsmail/A 49576-2022 tillsynsbegäran mail.docx", "A 49576-2022")</f>
        <v/>
      </c>
    </row>
    <row r="38" ht="15" customHeight="1">
      <c r="A38" t="inlineStr">
        <is>
          <t>A 55115-2022</t>
        </is>
      </c>
      <c r="B38" s="1" t="n">
        <v>44886</v>
      </c>
      <c r="C38" s="1" t="n">
        <v>45581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HYPERLINK("https://klasma.github.io/Logging_1861/artfynd/A 55115-2022 artfynd.xlsx", "A 55115-2022")</f>
        <v/>
      </c>
      <c r="T38">
        <f>HYPERLINK("https://klasma.github.io/Logging_1861/kartor/A 55115-2022 karta.png", "A 55115-2022")</f>
        <v/>
      </c>
      <c r="V38">
        <f>HYPERLINK("https://klasma.github.io/Logging_1861/klagomål/A 55115-2022 FSC-klagomål.docx", "A 55115-2022")</f>
        <v/>
      </c>
      <c r="W38">
        <f>HYPERLINK("https://klasma.github.io/Logging_1861/klagomålsmail/A 55115-2022 FSC-klagomål mail.docx", "A 55115-2022")</f>
        <v/>
      </c>
      <c r="X38">
        <f>HYPERLINK("https://klasma.github.io/Logging_1861/tillsyn/A 55115-2022 tillsynsbegäran.docx", "A 55115-2022")</f>
        <v/>
      </c>
      <c r="Y38">
        <f>HYPERLINK("https://klasma.github.io/Logging_1861/tillsynsmail/A 55115-2022 tillsynsbegäran mail.docx", "A 55115-2022")</f>
        <v/>
      </c>
    </row>
    <row r="39" ht="15" customHeight="1">
      <c r="A39" t="inlineStr">
        <is>
          <t>A 364-2023</t>
        </is>
      </c>
      <c r="B39" s="1" t="n">
        <v>44929</v>
      </c>
      <c r="C39" s="1" t="n">
        <v>45581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HYPERLINK("https://klasma.github.io/Logging_1861/artfynd/A 364-2023 artfynd.xlsx", "A 364-2023")</f>
        <v/>
      </c>
      <c r="T39">
        <f>HYPERLINK("https://klasma.github.io/Logging_1861/kartor/A 364-2023 karta.png", "A 364-2023")</f>
        <v/>
      </c>
      <c r="V39">
        <f>HYPERLINK("https://klasma.github.io/Logging_1861/klagomål/A 364-2023 FSC-klagomål.docx", "A 364-2023")</f>
        <v/>
      </c>
      <c r="W39">
        <f>HYPERLINK("https://klasma.github.io/Logging_1861/klagomålsmail/A 364-2023 FSC-klagomål mail.docx", "A 364-2023")</f>
        <v/>
      </c>
      <c r="X39">
        <f>HYPERLINK("https://klasma.github.io/Logging_1861/tillsyn/A 364-2023 tillsynsbegäran.docx", "A 364-2023")</f>
        <v/>
      </c>
      <c r="Y39">
        <f>HYPERLINK("https://klasma.github.io/Logging_1861/tillsynsmail/A 364-2023 tillsynsbegäran mail.docx", "A 364-2023")</f>
        <v/>
      </c>
    </row>
    <row r="40" ht="15" customHeight="1">
      <c r="A40" t="inlineStr">
        <is>
          <t>A 515-2023</t>
        </is>
      </c>
      <c r="B40" s="1" t="n">
        <v>44930</v>
      </c>
      <c r="C40" s="1" t="n">
        <v>45581</v>
      </c>
      <c r="D40" t="inlineStr">
        <is>
          <t>ÖREBRO LÄN</t>
        </is>
      </c>
      <c r="E40" t="inlineStr">
        <is>
          <t>HALLSBERG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HYPERLINK("https://klasma.github.io/Logging_1861/artfynd/A 515-2023 artfynd.xlsx", "A 515-2023")</f>
        <v/>
      </c>
      <c r="T40">
        <f>HYPERLINK("https://klasma.github.io/Logging_1861/kartor/A 515-2023 karta.png", "A 515-2023")</f>
        <v/>
      </c>
      <c r="V40">
        <f>HYPERLINK("https://klasma.github.io/Logging_1861/klagomål/A 515-2023 FSC-klagomål.docx", "A 515-2023")</f>
        <v/>
      </c>
      <c r="W40">
        <f>HYPERLINK("https://klasma.github.io/Logging_1861/klagomålsmail/A 515-2023 FSC-klagomål mail.docx", "A 515-2023")</f>
        <v/>
      </c>
      <c r="X40">
        <f>HYPERLINK("https://klasma.github.io/Logging_1861/tillsyn/A 515-2023 tillsynsbegäran.docx", "A 515-2023")</f>
        <v/>
      </c>
      <c r="Y40">
        <f>HYPERLINK("https://klasma.github.io/Logging_1861/tillsynsmail/A 515-2023 tillsynsbegäran mail.docx", "A 515-2023")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45581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45581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8341-2023</t>
        </is>
      </c>
      <c r="B43" s="1" t="n">
        <v>44976</v>
      </c>
      <c r="C43" s="1" t="n">
        <v>45581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HYPERLINK("https://klasma.github.io/Logging_1861/artfynd/A 8341-2023 artfynd.xlsx", "A 8341-2023")</f>
        <v/>
      </c>
      <c r="T43">
        <f>HYPERLINK("https://klasma.github.io/Logging_1861/kartor/A 8341-2023 karta.png", "A 8341-2023")</f>
        <v/>
      </c>
      <c r="V43">
        <f>HYPERLINK("https://klasma.github.io/Logging_1861/klagomål/A 8341-2023 FSC-klagomål.docx", "A 8341-2023")</f>
        <v/>
      </c>
      <c r="W43">
        <f>HYPERLINK("https://klasma.github.io/Logging_1861/klagomålsmail/A 8341-2023 FSC-klagomål mail.docx", "A 8341-2023")</f>
        <v/>
      </c>
      <c r="X43">
        <f>HYPERLINK("https://klasma.github.io/Logging_1861/tillsyn/A 8341-2023 tillsynsbegäran.docx", "A 8341-2023")</f>
        <v/>
      </c>
      <c r="Y43">
        <f>HYPERLINK("https://klasma.github.io/Logging_1861/tillsynsmail/A 8341-2023 tillsynsbegäran mail.docx", "A 8341-2023")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45581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13844-2023</t>
        </is>
      </c>
      <c r="B45" s="1" t="n">
        <v>45007</v>
      </c>
      <c r="C45" s="1" t="n">
        <v>45581</v>
      </c>
      <c r="D45" t="inlineStr">
        <is>
          <t>ÖREBRO LÄN</t>
        </is>
      </c>
      <c r="E45" t="inlineStr">
        <is>
          <t>HALLSBERG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HYPERLINK("https://klasma.github.io/Logging_1861/artfynd/A 13844-2023 artfynd.xlsx", "A 13844-2023")</f>
        <v/>
      </c>
      <c r="T45">
        <f>HYPERLINK("https://klasma.github.io/Logging_1861/kartor/A 13844-2023 karta.png", "A 13844-2023")</f>
        <v/>
      </c>
      <c r="V45">
        <f>HYPERLINK("https://klasma.github.io/Logging_1861/klagomål/A 13844-2023 FSC-klagomål.docx", "A 13844-2023")</f>
        <v/>
      </c>
      <c r="W45">
        <f>HYPERLINK("https://klasma.github.io/Logging_1861/klagomålsmail/A 13844-2023 FSC-klagomål mail.docx", "A 13844-2023")</f>
        <v/>
      </c>
      <c r="X45">
        <f>HYPERLINK("https://klasma.github.io/Logging_1861/tillsyn/A 13844-2023 tillsynsbegäran.docx", "A 13844-2023")</f>
        <v/>
      </c>
      <c r="Y45">
        <f>HYPERLINK("https://klasma.github.io/Logging_1861/tillsynsmail/A 13844-2023 tillsynsbegäran mail.docx", "A 13844-2023")</f>
        <v/>
      </c>
    </row>
    <row r="46" ht="15" customHeight="1">
      <c r="A46" t="inlineStr">
        <is>
          <t>A 14542-2023</t>
        </is>
      </c>
      <c r="B46" s="1" t="n">
        <v>45013</v>
      </c>
      <c r="C46" s="1" t="n">
        <v>45581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20.7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Dvärgtufs</t>
        </is>
      </c>
      <c r="S46">
        <f>HYPERLINK("https://klasma.github.io/Logging_1861/artfynd/A 14542-2023 artfynd.xlsx", "A 14542-2023")</f>
        <v/>
      </c>
      <c r="T46">
        <f>HYPERLINK("https://klasma.github.io/Logging_1861/kartor/A 14542-2023 karta.png", "A 14542-2023")</f>
        <v/>
      </c>
      <c r="V46">
        <f>HYPERLINK("https://klasma.github.io/Logging_1861/klagomål/A 14542-2023 FSC-klagomål.docx", "A 14542-2023")</f>
        <v/>
      </c>
      <c r="W46">
        <f>HYPERLINK("https://klasma.github.io/Logging_1861/klagomålsmail/A 14542-2023 FSC-klagomål mail.docx", "A 14542-2023")</f>
        <v/>
      </c>
      <c r="X46">
        <f>HYPERLINK("https://klasma.github.io/Logging_1861/tillsyn/A 14542-2023 tillsynsbegäran.docx", "A 14542-2023")</f>
        <v/>
      </c>
      <c r="Y46">
        <f>HYPERLINK("https://klasma.github.io/Logging_1861/tillsynsmail/A 14542-2023 tillsynsbegäran mail.docx", "A 14542-2023")</f>
        <v/>
      </c>
    </row>
    <row r="47" ht="15" customHeight="1">
      <c r="A47" t="inlineStr">
        <is>
          <t>A 14534-2023</t>
        </is>
      </c>
      <c r="B47" s="1" t="n">
        <v>45013</v>
      </c>
      <c r="C47" s="1" t="n">
        <v>45581</v>
      </c>
      <c r="D47" t="inlineStr">
        <is>
          <t>ÖREBRO LÄN</t>
        </is>
      </c>
      <c r="E47" t="inlineStr">
        <is>
          <t>HALLSBERG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14534-2023 artfynd.xlsx", "A 14534-2023")</f>
        <v/>
      </c>
      <c r="T47">
        <f>HYPERLINK("https://klasma.github.io/Logging_1861/kartor/A 14534-2023 karta.png", "A 14534-2023")</f>
        <v/>
      </c>
      <c r="V47">
        <f>HYPERLINK("https://klasma.github.io/Logging_1861/klagomål/A 14534-2023 FSC-klagomål.docx", "A 14534-2023")</f>
        <v/>
      </c>
      <c r="W47">
        <f>HYPERLINK("https://klasma.github.io/Logging_1861/klagomålsmail/A 14534-2023 FSC-klagomål mail.docx", "A 14534-2023")</f>
        <v/>
      </c>
      <c r="X47">
        <f>HYPERLINK("https://klasma.github.io/Logging_1861/tillsyn/A 14534-2023 tillsynsbegäran.docx", "A 14534-2023")</f>
        <v/>
      </c>
      <c r="Y47">
        <f>HYPERLINK("https://klasma.github.io/Logging_1861/tillsynsmail/A 14534-2023 tillsynsbegäran mail.docx", "A 14534-2023")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45581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27073-2023</t>
        </is>
      </c>
      <c r="B49" s="1" t="n">
        <v>45096</v>
      </c>
      <c r="C49" s="1" t="n">
        <v>45581</v>
      </c>
      <c r="D49" t="inlineStr">
        <is>
          <t>ÖREBRO LÄN</t>
        </is>
      </c>
      <c r="E49" t="inlineStr">
        <is>
          <t>HALLSBERG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HYPERLINK("https://klasma.github.io/Logging_1861/artfynd/A 27073-2023 artfynd.xlsx", "A 27073-2023")</f>
        <v/>
      </c>
      <c r="T49">
        <f>HYPERLINK("https://klasma.github.io/Logging_1861/kartor/A 27073-2023 karta.png", "A 27073-2023")</f>
        <v/>
      </c>
      <c r="V49">
        <f>HYPERLINK("https://klasma.github.io/Logging_1861/klagomål/A 27073-2023 FSC-klagomål.docx", "A 27073-2023")</f>
        <v/>
      </c>
      <c r="W49">
        <f>HYPERLINK("https://klasma.github.io/Logging_1861/klagomålsmail/A 27073-2023 FSC-klagomål mail.docx", "A 27073-2023")</f>
        <v/>
      </c>
      <c r="X49">
        <f>HYPERLINK("https://klasma.github.io/Logging_1861/tillsyn/A 27073-2023 tillsynsbegäran.docx", "A 27073-2023")</f>
        <v/>
      </c>
      <c r="Y49">
        <f>HYPERLINK("https://klasma.github.io/Logging_1861/tillsynsmail/A 27073-2023 tillsynsbegäran mail.docx", "A 27073-2023")</f>
        <v/>
      </c>
    </row>
    <row r="50" ht="15" customHeight="1">
      <c r="A50" t="inlineStr">
        <is>
          <t>A 33101-2023</t>
        </is>
      </c>
      <c r="B50" s="1" t="n">
        <v>45126</v>
      </c>
      <c r="C50" s="1" t="n">
        <v>45581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33101-2023 artfynd.xlsx", "A 33101-2023")</f>
        <v/>
      </c>
      <c r="T50">
        <f>HYPERLINK("https://klasma.github.io/Logging_1861/kartor/A 33101-2023 karta.png", "A 33101-2023")</f>
        <v/>
      </c>
      <c r="V50">
        <f>HYPERLINK("https://klasma.github.io/Logging_1861/klagomål/A 33101-2023 FSC-klagomål.docx", "A 33101-2023")</f>
        <v/>
      </c>
      <c r="W50">
        <f>HYPERLINK("https://klasma.github.io/Logging_1861/klagomålsmail/A 33101-2023 FSC-klagomål mail.docx", "A 33101-2023")</f>
        <v/>
      </c>
      <c r="X50">
        <f>HYPERLINK("https://klasma.github.io/Logging_1861/tillsyn/A 33101-2023 tillsynsbegäran.docx", "A 33101-2023")</f>
        <v/>
      </c>
      <c r="Y50">
        <f>HYPERLINK("https://klasma.github.io/Logging_1861/tillsynsmail/A 33101-2023 tillsynsbegäran mail.docx", "A 33101-2023")</f>
        <v/>
      </c>
    </row>
    <row r="51" ht="15" customHeight="1">
      <c r="A51" t="inlineStr">
        <is>
          <t>A 44863-2023</t>
        </is>
      </c>
      <c r="B51" s="1" t="n">
        <v>45190</v>
      </c>
      <c r="C51" s="1" t="n">
        <v>45581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12.5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HYPERLINK("https://klasma.github.io/Logging_1861/artfynd/A 44863-2023 artfynd.xlsx", "A 44863-2023")</f>
        <v/>
      </c>
      <c r="T51">
        <f>HYPERLINK("https://klasma.github.io/Logging_1861/kartor/A 44863-2023 karta.png", "A 44863-2023")</f>
        <v/>
      </c>
      <c r="V51">
        <f>HYPERLINK("https://klasma.github.io/Logging_1861/klagomål/A 44863-2023 FSC-klagomål.docx", "A 44863-2023")</f>
        <v/>
      </c>
      <c r="W51">
        <f>HYPERLINK("https://klasma.github.io/Logging_1861/klagomålsmail/A 44863-2023 FSC-klagomål mail.docx", "A 44863-2023")</f>
        <v/>
      </c>
      <c r="X51">
        <f>HYPERLINK("https://klasma.github.io/Logging_1861/tillsyn/A 44863-2023 tillsynsbegäran.docx", "A 44863-2023")</f>
        <v/>
      </c>
      <c r="Y51">
        <f>HYPERLINK("https://klasma.github.io/Logging_1861/tillsynsmail/A 44863-2023 tillsynsbegäran mail.docx", "A 44863-2023")</f>
        <v/>
      </c>
    </row>
    <row r="52" ht="15" customHeight="1">
      <c r="A52" t="inlineStr">
        <is>
          <t>A 46452-2023</t>
        </is>
      </c>
      <c r="B52" s="1" t="n">
        <v>45197</v>
      </c>
      <c r="C52" s="1" t="n">
        <v>45581</v>
      </c>
      <c r="D52" t="inlineStr">
        <is>
          <t>ÖREBRO LÄN</t>
        </is>
      </c>
      <c r="E52" t="inlineStr">
        <is>
          <t>HALLSBERG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46452-2023 artfynd.xlsx", "A 46452-2023")</f>
        <v/>
      </c>
      <c r="T52">
        <f>HYPERLINK("https://klasma.github.io/Logging_1861/kartor/A 46452-2023 karta.png", "A 46452-2023")</f>
        <v/>
      </c>
      <c r="V52">
        <f>HYPERLINK("https://klasma.github.io/Logging_1861/klagomål/A 46452-2023 FSC-klagomål.docx", "A 46452-2023")</f>
        <v/>
      </c>
      <c r="W52">
        <f>HYPERLINK("https://klasma.github.io/Logging_1861/klagomålsmail/A 46452-2023 FSC-klagomål mail.docx", "A 46452-2023")</f>
        <v/>
      </c>
      <c r="X52">
        <f>HYPERLINK("https://klasma.github.io/Logging_1861/tillsyn/A 46452-2023 tillsynsbegäran.docx", "A 46452-2023")</f>
        <v/>
      </c>
      <c r="Y52">
        <f>HYPERLINK("https://klasma.github.io/Logging_1861/tillsynsmail/A 46452-2023 tillsynsbegäran mail.docx", "A 46452-2023")</f>
        <v/>
      </c>
    </row>
    <row r="53" ht="15" customHeight="1">
      <c r="A53" t="inlineStr">
        <is>
          <t>A 64697-2023</t>
        </is>
      </c>
      <c r="B53" s="1" t="n">
        <v>45281</v>
      </c>
      <c r="C53" s="1" t="n">
        <v>45581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HYPERLINK("https://klasma.github.io/Logging_1861/artfynd/A 64697-2023 artfynd.xlsx", "A 64697-2023")</f>
        <v/>
      </c>
      <c r="T53">
        <f>HYPERLINK("https://klasma.github.io/Logging_1861/kartor/A 64697-2023 karta.png", "A 64697-2023")</f>
        <v/>
      </c>
      <c r="V53">
        <f>HYPERLINK("https://klasma.github.io/Logging_1861/klagomål/A 64697-2023 FSC-klagomål.docx", "A 64697-2023")</f>
        <v/>
      </c>
      <c r="W53">
        <f>HYPERLINK("https://klasma.github.io/Logging_1861/klagomålsmail/A 64697-2023 FSC-klagomål mail.docx", "A 64697-2023")</f>
        <v/>
      </c>
      <c r="X53">
        <f>HYPERLINK("https://klasma.github.io/Logging_1861/tillsyn/A 64697-2023 tillsynsbegäran.docx", "A 64697-2023")</f>
        <v/>
      </c>
      <c r="Y53">
        <f>HYPERLINK("https://klasma.github.io/Logging_1861/tillsynsmail/A 64697-2023 tillsynsbegäran mail.docx", "A 64697-2023")</f>
        <v/>
      </c>
      <c r="Z53">
        <f>HYPERLINK("https://klasma.github.io/Logging_1861/fåglar/A 64697-2023 prioriterade fågelarter.docx", "A 64697-2023")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45581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14064-2024</t>
        </is>
      </c>
      <c r="B55" s="1" t="n">
        <v>45392</v>
      </c>
      <c r="C55" s="1" t="n">
        <v>45581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14620-2024</t>
        </is>
      </c>
      <c r="B56" s="1" t="n">
        <v>45397</v>
      </c>
      <c r="C56" s="1" t="n">
        <v>45581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14620-2024 artfynd.xlsx", "A 14620-2024")</f>
        <v/>
      </c>
      <c r="T56">
        <f>HYPERLINK("https://klasma.github.io/Logging_1861/kartor/A 14620-2024 karta.png", "A 14620-2024")</f>
        <v/>
      </c>
      <c r="V56">
        <f>HYPERLINK("https://klasma.github.io/Logging_1861/klagomål/A 14620-2024 FSC-klagomål.docx", "A 14620-2024")</f>
        <v/>
      </c>
      <c r="W56">
        <f>HYPERLINK("https://klasma.github.io/Logging_1861/klagomålsmail/A 14620-2024 FSC-klagomål mail.docx", "A 14620-2024")</f>
        <v/>
      </c>
      <c r="X56">
        <f>HYPERLINK("https://klasma.github.io/Logging_1861/tillsyn/A 14620-2024 tillsynsbegäran.docx", "A 14620-2024")</f>
        <v/>
      </c>
      <c r="Y56">
        <f>HYPERLINK("https://klasma.github.io/Logging_1861/tillsynsmail/A 14620-2024 tillsynsbegäran mail.docx", "A 14620-2024")</f>
        <v/>
      </c>
    </row>
    <row r="57" ht="15" customHeight="1">
      <c r="A57" t="inlineStr">
        <is>
          <t>A 14619-2024</t>
        </is>
      </c>
      <c r="B57" s="1" t="n">
        <v>45397</v>
      </c>
      <c r="C57" s="1" t="n">
        <v>45581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21314-2024</t>
        </is>
      </c>
      <c r="B58" s="1" t="n">
        <v>45440</v>
      </c>
      <c r="C58" s="1" t="n">
        <v>45581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HYPERLINK("https://klasma.github.io/Logging_1861/artfynd/A 21314-2024 artfynd.xlsx", "A 21314-2024")</f>
        <v/>
      </c>
      <c r="T58">
        <f>HYPERLINK("https://klasma.github.io/Logging_1861/kartor/A 21314-2024 karta.png", "A 21314-2024")</f>
        <v/>
      </c>
      <c r="V58">
        <f>HYPERLINK("https://klasma.github.io/Logging_1861/klagomål/A 21314-2024 FSC-klagomål.docx", "A 21314-2024")</f>
        <v/>
      </c>
      <c r="W58">
        <f>HYPERLINK("https://klasma.github.io/Logging_1861/klagomålsmail/A 21314-2024 FSC-klagomål mail.docx", "A 21314-2024")</f>
        <v/>
      </c>
      <c r="X58">
        <f>HYPERLINK("https://klasma.github.io/Logging_1861/tillsyn/A 21314-2024 tillsynsbegäran.docx", "A 21314-2024")</f>
        <v/>
      </c>
      <c r="Y58">
        <f>HYPERLINK("https://klasma.github.io/Logging_1861/tillsynsmail/A 21314-2024 tillsynsbegäran mail.docx", "A 21314-2024")</f>
        <v/>
      </c>
    </row>
    <row r="59" ht="15" customHeight="1">
      <c r="A59" t="inlineStr">
        <is>
          <t>A 32543-2024</t>
        </is>
      </c>
      <c r="B59" s="1" t="n">
        <v>45513</v>
      </c>
      <c r="C59" s="1" t="n">
        <v>45581</v>
      </c>
      <c r="D59" t="inlineStr">
        <is>
          <t>ÖREBRO LÄN</t>
        </is>
      </c>
      <c r="E59" t="inlineStr">
        <is>
          <t>HALLSBERG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HYPERLINK("https://klasma.github.io/Logging_1861/artfynd/A 32543-2024 artfynd.xlsx", "A 32543-2024")</f>
        <v/>
      </c>
      <c r="T59">
        <f>HYPERLINK("https://klasma.github.io/Logging_1861/kartor/A 32543-2024 karta.png", "A 32543-2024")</f>
        <v/>
      </c>
      <c r="V59">
        <f>HYPERLINK("https://klasma.github.io/Logging_1861/klagomål/A 32543-2024 FSC-klagomål.docx", "A 32543-2024")</f>
        <v/>
      </c>
      <c r="W59">
        <f>HYPERLINK("https://klasma.github.io/Logging_1861/klagomålsmail/A 32543-2024 FSC-klagomål mail.docx", "A 32543-2024")</f>
        <v/>
      </c>
      <c r="X59">
        <f>HYPERLINK("https://klasma.github.io/Logging_1861/tillsyn/A 32543-2024 tillsynsbegäran.docx", "A 32543-2024")</f>
        <v/>
      </c>
      <c r="Y59">
        <f>HYPERLINK("https://klasma.github.io/Logging_1861/tillsynsmail/A 32543-2024 tillsynsbegäran mail.docx", "A 32543-2024")</f>
        <v/>
      </c>
      <c r="Z59">
        <f>HYPERLINK("https://klasma.github.io/Logging_1861/fåglar/A 32543-2024 prioriterade fågelarter.docx", "A 32543-2024")</f>
        <v/>
      </c>
    </row>
    <row r="60" ht="15" customHeight="1">
      <c r="A60" t="inlineStr">
        <is>
          <t>A 32547-2024</t>
        </is>
      </c>
      <c r="B60" s="1" t="n">
        <v>45513</v>
      </c>
      <c r="C60" s="1" t="n">
        <v>45581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HYPERLINK("https://klasma.github.io/Logging_1861/artfynd/A 32547-2024 artfynd.xlsx", "A 32547-2024")</f>
        <v/>
      </c>
      <c r="T60">
        <f>HYPERLINK("https://klasma.github.io/Logging_1861/kartor/A 32547-2024 karta.png", "A 32547-2024")</f>
        <v/>
      </c>
      <c r="V60">
        <f>HYPERLINK("https://klasma.github.io/Logging_1861/klagomål/A 32547-2024 FSC-klagomål.docx", "A 32547-2024")</f>
        <v/>
      </c>
      <c r="W60">
        <f>HYPERLINK("https://klasma.github.io/Logging_1861/klagomålsmail/A 32547-2024 FSC-klagomål mail.docx", "A 32547-2024")</f>
        <v/>
      </c>
      <c r="X60">
        <f>HYPERLINK("https://klasma.github.io/Logging_1861/tillsyn/A 32547-2024 tillsynsbegäran.docx", "A 32547-2024")</f>
        <v/>
      </c>
      <c r="Y60">
        <f>HYPERLINK("https://klasma.github.io/Logging_1861/tillsynsmail/A 32547-2024 tillsynsbegäran mail.docx", "A 32547-2024")</f>
        <v/>
      </c>
    </row>
    <row r="61" ht="15" customHeight="1">
      <c r="A61" t="inlineStr">
        <is>
          <t>A 17632-2019</t>
        </is>
      </c>
      <c r="B61" s="1" t="n">
        <v>43556</v>
      </c>
      <c r="C61" s="1" t="n">
        <v>45581</v>
      </c>
      <c r="D61" t="inlineStr">
        <is>
          <t>ÖREBRO LÄN</t>
        </is>
      </c>
      <c r="E61" t="inlineStr">
        <is>
          <t>HALLSBERG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18331-2019</t>
        </is>
      </c>
      <c r="B62" s="1" t="n">
        <v>43558</v>
      </c>
      <c r="C62" s="1" t="n">
        <v>45581</v>
      </c>
      <c r="D62" t="inlineStr">
        <is>
          <t>ÖREBRO LÄN</t>
        </is>
      </c>
      <c r="E62" t="inlineStr">
        <is>
          <t>HALLSBERG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20150-2019</t>
        </is>
      </c>
      <c r="B63" s="1" t="n">
        <v>43570</v>
      </c>
      <c r="C63" s="1" t="n">
        <v>45581</v>
      </c>
      <c r="D63" t="inlineStr">
        <is>
          <t>ÖREBRO LÄN</t>
        </is>
      </c>
      <c r="E63" t="inlineStr">
        <is>
          <t>HALLSBERG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21409-2019</t>
        </is>
      </c>
      <c r="B64" s="1" t="n">
        <v>43580</v>
      </c>
      <c r="C64" s="1" t="n">
        <v>45581</v>
      </c>
      <c r="D64" t="inlineStr">
        <is>
          <t>ÖREBRO LÄN</t>
        </is>
      </c>
      <c r="E64" t="inlineStr">
        <is>
          <t>HALLSBERG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22012-2019</t>
        </is>
      </c>
      <c r="B65" s="1" t="n">
        <v>43584</v>
      </c>
      <c r="C65" s="1" t="n">
        <v>45581</v>
      </c>
      <c r="D65" t="inlineStr">
        <is>
          <t>ÖREBRO LÄN</t>
        </is>
      </c>
      <c r="E65" t="inlineStr">
        <is>
          <t>HALLSBERG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22251-2019</t>
        </is>
      </c>
      <c r="B66" s="1" t="n">
        <v>43585</v>
      </c>
      <c r="C66" s="1" t="n">
        <v>45581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24729-2019</t>
        </is>
      </c>
      <c r="B67" s="1" t="n">
        <v>43601</v>
      </c>
      <c r="C67" s="1" t="n">
        <v>45581</v>
      </c>
      <c r="D67" t="inlineStr">
        <is>
          <t>ÖREBRO LÄN</t>
        </is>
      </c>
      <c r="E67" t="inlineStr">
        <is>
          <t>HALLSBERG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26435-2019</t>
        </is>
      </c>
      <c r="B68" s="1" t="n">
        <v>43607</v>
      </c>
      <c r="C68" s="1" t="n">
        <v>45581</v>
      </c>
      <c r="D68" t="inlineStr">
        <is>
          <t>ÖREBRO LÄN</t>
        </is>
      </c>
      <c r="E68" t="inlineStr">
        <is>
          <t>HALLSBERG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30236-2019</t>
        </is>
      </c>
      <c r="B69" s="1" t="n">
        <v>43634</v>
      </c>
      <c r="C69" s="1" t="n">
        <v>45581</v>
      </c>
      <c r="D69" t="inlineStr">
        <is>
          <t>ÖREBRO LÄN</t>
        </is>
      </c>
      <c r="E69" t="inlineStr">
        <is>
          <t>HALLSBERG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30347-2019</t>
        </is>
      </c>
      <c r="B70" s="1" t="n">
        <v>43634</v>
      </c>
      <c r="C70" s="1" t="n">
        <v>45581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34787-2019</t>
        </is>
      </c>
      <c r="B71" s="1" t="n">
        <v>43649</v>
      </c>
      <c r="C71" s="1" t="n">
        <v>45581</v>
      </c>
      <c r="D71" t="inlineStr">
        <is>
          <t>ÖREBRO LÄN</t>
        </is>
      </c>
      <c r="E71" t="inlineStr">
        <is>
          <t>HALLSBERG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35682-2019</t>
        </is>
      </c>
      <c r="B72" s="1" t="n">
        <v>43654</v>
      </c>
      <c r="C72" s="1" t="n">
        <v>45581</v>
      </c>
      <c r="D72" t="inlineStr">
        <is>
          <t>ÖREBRO LÄN</t>
        </is>
      </c>
      <c r="E72" t="inlineStr">
        <is>
          <t>HALLSBERG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35673-2019</t>
        </is>
      </c>
      <c r="B73" s="1" t="n">
        <v>43654</v>
      </c>
      <c r="C73" s="1" t="n">
        <v>45581</v>
      </c>
      <c r="D73" t="inlineStr">
        <is>
          <t>ÖREBRO LÄN</t>
        </is>
      </c>
      <c r="E73" t="inlineStr">
        <is>
          <t>HALLSBERG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34279-2019</t>
        </is>
      </c>
      <c r="B74" s="1" t="n">
        <v>43655</v>
      </c>
      <c r="C74" s="1" t="n">
        <v>45581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35532-2019</t>
        </is>
      </c>
      <c r="B75" s="1" t="n">
        <v>43655</v>
      </c>
      <c r="C75" s="1" t="n">
        <v>45581</v>
      </c>
      <c r="D75" t="inlineStr">
        <is>
          <t>ÖREBRO LÄN</t>
        </is>
      </c>
      <c r="E75" t="inlineStr">
        <is>
          <t>HALLSBERG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35662-2019</t>
        </is>
      </c>
      <c r="B76" s="1" t="n">
        <v>43655</v>
      </c>
      <c r="C76" s="1" t="n">
        <v>45581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34281-2019</t>
        </is>
      </c>
      <c r="B77" s="1" t="n">
        <v>43655</v>
      </c>
      <c r="C77" s="1" t="n">
        <v>45581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HYPERLINK("https://klasma.github.io/Logging_1861/knärot/A 34281-2019 karta knärot.png", "A 34281-2019")</f>
        <v/>
      </c>
      <c r="V77">
        <f>HYPERLINK("https://klasma.github.io/Logging_1861/klagomål/A 34281-2019 FSC-klagomål.docx", "A 34281-2019")</f>
        <v/>
      </c>
      <c r="W77">
        <f>HYPERLINK("https://klasma.github.io/Logging_1861/klagomålsmail/A 34281-2019 FSC-klagomål mail.docx", "A 34281-2019")</f>
        <v/>
      </c>
      <c r="X77">
        <f>HYPERLINK("https://klasma.github.io/Logging_1861/tillsyn/A 34281-2019 tillsynsbegäran.docx", "A 34281-2019")</f>
        <v/>
      </c>
      <c r="Y77">
        <f>HYPERLINK("https://klasma.github.io/Logging_1861/tillsynsmail/A 34281-2019 tillsynsbegäran mail.docx", "A 34281-2019")</f>
        <v/>
      </c>
    </row>
    <row r="78" ht="15" customHeight="1">
      <c r="A78" t="inlineStr">
        <is>
          <t>A 35665-2019</t>
        </is>
      </c>
      <c r="B78" s="1" t="n">
        <v>43655</v>
      </c>
      <c r="C78" s="1" t="n">
        <v>45581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35659-2019</t>
        </is>
      </c>
      <c r="B79" s="1" t="n">
        <v>43655</v>
      </c>
      <c r="C79" s="1" t="n">
        <v>45581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34277-2019</t>
        </is>
      </c>
      <c r="B80" s="1" t="n">
        <v>43655</v>
      </c>
      <c r="C80" s="1" t="n">
        <v>45581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37494-2019</t>
        </is>
      </c>
      <c r="B81" s="1" t="n">
        <v>43679</v>
      </c>
      <c r="C81" s="1" t="n">
        <v>45581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37493-2019</t>
        </is>
      </c>
      <c r="B82" s="1" t="n">
        <v>43679</v>
      </c>
      <c r="C82" s="1" t="n">
        <v>45581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37495-2019</t>
        </is>
      </c>
      <c r="B83" s="1" t="n">
        <v>43679</v>
      </c>
      <c r="C83" s="1" t="n">
        <v>45581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37474-2019</t>
        </is>
      </c>
      <c r="B84" s="1" t="n">
        <v>43679</v>
      </c>
      <c r="C84" s="1" t="n">
        <v>45581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37926-2019</t>
        </is>
      </c>
      <c r="B85" s="1" t="n">
        <v>43683</v>
      </c>
      <c r="C85" s="1" t="n">
        <v>45581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39879-2019</t>
        </is>
      </c>
      <c r="B86" s="1" t="n">
        <v>43692</v>
      </c>
      <c r="C86" s="1" t="n">
        <v>45581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41182-2019</t>
        </is>
      </c>
      <c r="B87" s="1" t="n">
        <v>43698</v>
      </c>
      <c r="C87" s="1" t="n">
        <v>45581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41250-2019</t>
        </is>
      </c>
      <c r="B88" s="1" t="n">
        <v>43698</v>
      </c>
      <c r="C88" s="1" t="n">
        <v>45581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41174-2019</t>
        </is>
      </c>
      <c r="B89" s="1" t="n">
        <v>43698</v>
      </c>
      <c r="C89" s="1" t="n">
        <v>45581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41184-2019</t>
        </is>
      </c>
      <c r="B90" s="1" t="n">
        <v>43698</v>
      </c>
      <c r="C90" s="1" t="n">
        <v>45581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41345-2019</t>
        </is>
      </c>
      <c r="B91" s="1" t="n">
        <v>43698</v>
      </c>
      <c r="C91" s="1" t="n">
        <v>45581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41348-2019</t>
        </is>
      </c>
      <c r="B92" s="1" t="n">
        <v>43698</v>
      </c>
      <c r="C92" s="1" t="n">
        <v>45581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41864-2019</t>
        </is>
      </c>
      <c r="B93" s="1" t="n">
        <v>43700</v>
      </c>
      <c r="C93" s="1" t="n">
        <v>45581</v>
      </c>
      <c r="D93" t="inlineStr">
        <is>
          <t>ÖREBRO LÄN</t>
        </is>
      </c>
      <c r="E93" t="inlineStr">
        <is>
          <t>HALLSBERG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42281-2019</t>
        </is>
      </c>
      <c r="B94" s="1" t="n">
        <v>43703</v>
      </c>
      <c r="C94" s="1" t="n">
        <v>45581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43828-2019</t>
        </is>
      </c>
      <c r="B95" s="1" t="n">
        <v>43704</v>
      </c>
      <c r="C95" s="1" t="n">
        <v>45581</v>
      </c>
      <c r="D95" t="inlineStr">
        <is>
          <t>ÖREBRO LÄN</t>
        </is>
      </c>
      <c r="E95" t="inlineStr">
        <is>
          <t>HALLSBERG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43642-2019</t>
        </is>
      </c>
      <c r="B96" s="1" t="n">
        <v>43704</v>
      </c>
      <c r="C96" s="1" t="n">
        <v>45581</v>
      </c>
      <c r="D96" t="inlineStr">
        <is>
          <t>ÖREBRO LÄN</t>
        </is>
      </c>
      <c r="E96" t="inlineStr">
        <is>
          <t>HALLSBERG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43646-2019</t>
        </is>
      </c>
      <c r="B97" s="1" t="n">
        <v>43704</v>
      </c>
      <c r="C97" s="1" t="n">
        <v>45581</v>
      </c>
      <c r="D97" t="inlineStr">
        <is>
          <t>ÖREBRO LÄN</t>
        </is>
      </c>
      <c r="E97" t="inlineStr">
        <is>
          <t>HALLSBERG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43822-2019</t>
        </is>
      </c>
      <c r="B98" s="1" t="n">
        <v>43704</v>
      </c>
      <c r="C98" s="1" t="n">
        <v>45581</v>
      </c>
      <c r="D98" t="inlineStr">
        <is>
          <t>ÖREBRO LÄN</t>
        </is>
      </c>
      <c r="E98" t="inlineStr">
        <is>
          <t>HALLSBERG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43851-2019</t>
        </is>
      </c>
      <c r="B99" s="1" t="n">
        <v>43704</v>
      </c>
      <c r="C99" s="1" t="n">
        <v>45581</v>
      </c>
      <c r="D99" t="inlineStr">
        <is>
          <t>ÖREBRO LÄN</t>
        </is>
      </c>
      <c r="E99" t="inlineStr">
        <is>
          <t>HALLSBERG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47880-2019</t>
        </is>
      </c>
      <c r="B100" s="1" t="n">
        <v>43725</v>
      </c>
      <c r="C100" s="1" t="n">
        <v>45581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47884-2019</t>
        </is>
      </c>
      <c r="B101" s="1" t="n">
        <v>43725</v>
      </c>
      <c r="C101" s="1" t="n">
        <v>45581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50543-2019</t>
        </is>
      </c>
      <c r="B102" s="1" t="n">
        <v>43735</v>
      </c>
      <c r="C102" s="1" t="n">
        <v>45581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50531-2019</t>
        </is>
      </c>
      <c r="B103" s="1" t="n">
        <v>43735</v>
      </c>
      <c r="C103" s="1" t="n">
        <v>45581</v>
      </c>
      <c r="D103" t="inlineStr">
        <is>
          <t>ÖREBRO LÄN</t>
        </is>
      </c>
      <c r="E103" t="inlineStr">
        <is>
          <t>HALLSBERG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51641-2019</t>
        </is>
      </c>
      <c r="B104" s="1" t="n">
        <v>43740</v>
      </c>
      <c r="C104" s="1" t="n">
        <v>45581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53726-2019</t>
        </is>
      </c>
      <c r="B105" s="1" t="n">
        <v>43749</v>
      </c>
      <c r="C105" s="1" t="n">
        <v>45581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55605-2019</t>
        </is>
      </c>
      <c r="B106" s="1" t="n">
        <v>43759</v>
      </c>
      <c r="C106" s="1" t="n">
        <v>45581</v>
      </c>
      <c r="D106" t="inlineStr">
        <is>
          <t>ÖREBRO LÄN</t>
        </is>
      </c>
      <c r="E106" t="inlineStr">
        <is>
          <t>HALLSBERG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55613-2019</t>
        </is>
      </c>
      <c r="B107" s="1" t="n">
        <v>43759</v>
      </c>
      <c r="C107" s="1" t="n">
        <v>45581</v>
      </c>
      <c r="D107" t="inlineStr">
        <is>
          <t>ÖREBRO LÄN</t>
        </is>
      </c>
      <c r="E107" t="inlineStr">
        <is>
          <t>HALLSBERG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56454-2019</t>
        </is>
      </c>
      <c r="B108" s="1" t="n">
        <v>43762</v>
      </c>
      <c r="C108" s="1" t="n">
        <v>45581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56421-2019</t>
        </is>
      </c>
      <c r="B109" s="1" t="n">
        <v>43762</v>
      </c>
      <c r="C109" s="1" t="n">
        <v>45581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60367-2019</t>
        </is>
      </c>
      <c r="B110" s="1" t="n">
        <v>43776</v>
      </c>
      <c r="C110" s="1" t="n">
        <v>45581</v>
      </c>
      <c r="D110" t="inlineStr">
        <is>
          <t>ÖREBRO LÄN</t>
        </is>
      </c>
      <c r="E110" t="inlineStr">
        <is>
          <t>HALLSBERG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60626-2019</t>
        </is>
      </c>
      <c r="B111" s="1" t="n">
        <v>43781</v>
      </c>
      <c r="C111" s="1" t="n">
        <v>45581</v>
      </c>
      <c r="D111" t="inlineStr">
        <is>
          <t>ÖREBRO LÄN</t>
        </is>
      </c>
      <c r="E111" t="inlineStr">
        <is>
          <t>HALLSBERG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63117-2019</t>
        </is>
      </c>
      <c r="B112" s="1" t="n">
        <v>43791</v>
      </c>
      <c r="C112" s="1" t="n">
        <v>45581</v>
      </c>
      <c r="D112" t="inlineStr">
        <is>
          <t>ÖREBRO LÄN</t>
        </is>
      </c>
      <c r="E112" t="inlineStr">
        <is>
          <t>HALLSBERG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63264-2019</t>
        </is>
      </c>
      <c r="B113" s="1" t="n">
        <v>43793</v>
      </c>
      <c r="C113" s="1" t="n">
        <v>45581</v>
      </c>
      <c r="D113" t="inlineStr">
        <is>
          <t>ÖREBRO LÄN</t>
        </is>
      </c>
      <c r="E113" t="inlineStr">
        <is>
          <t>HALLSBERG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1516-2020</t>
        </is>
      </c>
      <c r="B114" s="1" t="n">
        <v>43843</v>
      </c>
      <c r="C114" s="1" t="n">
        <v>45581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2362-2020</t>
        </is>
      </c>
      <c r="B115" s="1" t="n">
        <v>43846</v>
      </c>
      <c r="C115" s="1" t="n">
        <v>45581</v>
      </c>
      <c r="D115" t="inlineStr">
        <is>
          <t>ÖREBRO LÄN</t>
        </is>
      </c>
      <c r="E115" t="inlineStr">
        <is>
          <t>HALLSBERG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5275-2020</t>
        </is>
      </c>
      <c r="B116" s="1" t="n">
        <v>43860</v>
      </c>
      <c r="C116" s="1" t="n">
        <v>45581</v>
      </c>
      <c r="D116" t="inlineStr">
        <is>
          <t>ÖREBRO LÄN</t>
        </is>
      </c>
      <c r="E116" t="inlineStr">
        <is>
          <t>HALLSBERG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5667-2020</t>
        </is>
      </c>
      <c r="B117" s="1" t="n">
        <v>43861</v>
      </c>
      <c r="C117" s="1" t="n">
        <v>45581</v>
      </c>
      <c r="D117" t="inlineStr">
        <is>
          <t>ÖREBRO LÄN</t>
        </is>
      </c>
      <c r="E117" t="inlineStr">
        <is>
          <t>HALLSBERG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6938-2020</t>
        </is>
      </c>
      <c r="B118" s="1" t="n">
        <v>43867</v>
      </c>
      <c r="C118" s="1" t="n">
        <v>45581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9200-2020</t>
        </is>
      </c>
      <c r="B119" s="1" t="n">
        <v>43879</v>
      </c>
      <c r="C119" s="1" t="n">
        <v>45581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9211-2020</t>
        </is>
      </c>
      <c r="B120" s="1" t="n">
        <v>43879</v>
      </c>
      <c r="C120" s="1" t="n">
        <v>45581</v>
      </c>
      <c r="D120" t="inlineStr">
        <is>
          <t>ÖREBRO LÄN</t>
        </is>
      </c>
      <c r="E120" t="inlineStr">
        <is>
          <t>HALLSBERG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12057-2020</t>
        </is>
      </c>
      <c r="B121" s="1" t="n">
        <v>43894</v>
      </c>
      <c r="C121" s="1" t="n">
        <v>45581</v>
      </c>
      <c r="D121" t="inlineStr">
        <is>
          <t>ÖREBRO LÄN</t>
        </is>
      </c>
      <c r="E121" t="inlineStr">
        <is>
          <t>HALLSBERG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14453-2020</t>
        </is>
      </c>
      <c r="B122" s="1" t="n">
        <v>43908</v>
      </c>
      <c r="C122" s="1" t="n">
        <v>45581</v>
      </c>
      <c r="D122" t="inlineStr">
        <is>
          <t>ÖREBRO LÄN</t>
        </is>
      </c>
      <c r="E122" t="inlineStr">
        <is>
          <t>HALLSBERG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16056-2020</t>
        </is>
      </c>
      <c r="B123" s="1" t="n">
        <v>43916</v>
      </c>
      <c r="C123" s="1" t="n">
        <v>45581</v>
      </c>
      <c r="D123" t="inlineStr">
        <is>
          <t>ÖREBRO LÄN</t>
        </is>
      </c>
      <c r="E123" t="inlineStr">
        <is>
          <t>HALLSBERG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18548-2020</t>
        </is>
      </c>
      <c r="B124" s="1" t="n">
        <v>43929</v>
      </c>
      <c r="C124" s="1" t="n">
        <v>45581</v>
      </c>
      <c r="D124" t="inlineStr">
        <is>
          <t>ÖREBRO LÄN</t>
        </is>
      </c>
      <c r="E124" t="inlineStr">
        <is>
          <t>HALLSBERG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18555-2020</t>
        </is>
      </c>
      <c r="B125" s="1" t="n">
        <v>43929</v>
      </c>
      <c r="C125" s="1" t="n">
        <v>45581</v>
      </c>
      <c r="D125" t="inlineStr">
        <is>
          <t>ÖREBRO LÄN</t>
        </is>
      </c>
      <c r="E125" t="inlineStr">
        <is>
          <t>HALLSBERG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18553-2020</t>
        </is>
      </c>
      <c r="B126" s="1" t="n">
        <v>43929</v>
      </c>
      <c r="C126" s="1" t="n">
        <v>45581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19784-2020</t>
        </is>
      </c>
      <c r="B127" s="1" t="n">
        <v>43942</v>
      </c>
      <c r="C127" s="1" t="n">
        <v>45581</v>
      </c>
      <c r="D127" t="inlineStr">
        <is>
          <t>ÖREBRO LÄN</t>
        </is>
      </c>
      <c r="E127" t="inlineStr">
        <is>
          <t>HALLSBERG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19791-2020</t>
        </is>
      </c>
      <c r="B128" s="1" t="n">
        <v>43942</v>
      </c>
      <c r="C128" s="1" t="n">
        <v>45581</v>
      </c>
      <c r="D128" t="inlineStr">
        <is>
          <t>ÖREBRO LÄN</t>
        </is>
      </c>
      <c r="E128" t="inlineStr">
        <is>
          <t>HALLSBERG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20129-2020</t>
        </is>
      </c>
      <c r="B129" s="1" t="n">
        <v>43944</v>
      </c>
      <c r="C129" s="1" t="n">
        <v>45581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20511-2020</t>
        </is>
      </c>
      <c r="B130" s="1" t="n">
        <v>43948</v>
      </c>
      <c r="C130" s="1" t="n">
        <v>45581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20544-2020</t>
        </is>
      </c>
      <c r="B131" s="1" t="n">
        <v>43948</v>
      </c>
      <c r="C131" s="1" t="n">
        <v>45581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20500-2020</t>
        </is>
      </c>
      <c r="B132" s="1" t="n">
        <v>43948</v>
      </c>
      <c r="C132" s="1" t="n">
        <v>45581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20510-2020</t>
        </is>
      </c>
      <c r="B133" s="1" t="n">
        <v>43948</v>
      </c>
      <c r="C133" s="1" t="n">
        <v>45581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20704-2020</t>
        </is>
      </c>
      <c r="B134" s="1" t="n">
        <v>43949</v>
      </c>
      <c r="C134" s="1" t="n">
        <v>45581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20705-2020</t>
        </is>
      </c>
      <c r="B135" s="1" t="n">
        <v>43949</v>
      </c>
      <c r="C135" s="1" t="n">
        <v>45581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20958-2020</t>
        </is>
      </c>
      <c r="B136" s="1" t="n">
        <v>43950</v>
      </c>
      <c r="C136" s="1" t="n">
        <v>45581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20833-2020</t>
        </is>
      </c>
      <c r="B137" s="1" t="n">
        <v>43950</v>
      </c>
      <c r="C137" s="1" t="n">
        <v>45581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22567-2020</t>
        </is>
      </c>
      <c r="B138" s="1" t="n">
        <v>43963</v>
      </c>
      <c r="C138" s="1" t="n">
        <v>45581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23720-2020</t>
        </is>
      </c>
      <c r="B139" s="1" t="n">
        <v>43970</v>
      </c>
      <c r="C139" s="1" t="n">
        <v>45581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23716-2020</t>
        </is>
      </c>
      <c r="B140" s="1" t="n">
        <v>43970</v>
      </c>
      <c r="C140" s="1" t="n">
        <v>45581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23717-2020</t>
        </is>
      </c>
      <c r="B141" s="1" t="n">
        <v>43970</v>
      </c>
      <c r="C141" s="1" t="n">
        <v>45581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23773-2020</t>
        </is>
      </c>
      <c r="B142" s="1" t="n">
        <v>43970</v>
      </c>
      <c r="C142" s="1" t="n">
        <v>45581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24022-2020</t>
        </is>
      </c>
      <c r="B143" s="1" t="n">
        <v>43971</v>
      </c>
      <c r="C143" s="1" t="n">
        <v>45581</v>
      </c>
      <c r="D143" t="inlineStr">
        <is>
          <t>ÖREBRO LÄN</t>
        </is>
      </c>
      <c r="E143" t="inlineStr">
        <is>
          <t>HALLSBERG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24623-2020</t>
        </is>
      </c>
      <c r="B144" s="1" t="n">
        <v>43977</v>
      </c>
      <c r="C144" s="1" t="n">
        <v>45581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24626-2020</t>
        </is>
      </c>
      <c r="B145" s="1" t="n">
        <v>43977</v>
      </c>
      <c r="C145" s="1" t="n">
        <v>45581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26196-2020</t>
        </is>
      </c>
      <c r="B146" s="1" t="n">
        <v>43985</v>
      </c>
      <c r="C146" s="1" t="n">
        <v>45581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26211-2020</t>
        </is>
      </c>
      <c r="B147" s="1" t="n">
        <v>43986</v>
      </c>
      <c r="C147" s="1" t="n">
        <v>45581</v>
      </c>
      <c r="D147" t="inlineStr">
        <is>
          <t>ÖREBRO LÄN</t>
        </is>
      </c>
      <c r="E147" t="inlineStr">
        <is>
          <t>HALLSBERG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26477-2020</t>
        </is>
      </c>
      <c r="B148" s="1" t="n">
        <v>43987</v>
      </c>
      <c r="C148" s="1" t="n">
        <v>45581</v>
      </c>
      <c r="D148" t="inlineStr">
        <is>
          <t>ÖREBRO LÄN</t>
        </is>
      </c>
      <c r="E148" t="inlineStr">
        <is>
          <t>HALLSBERG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28193-2020</t>
        </is>
      </c>
      <c r="B149" s="1" t="n">
        <v>43997</v>
      </c>
      <c r="C149" s="1" t="n">
        <v>45581</v>
      </c>
      <c r="D149" t="inlineStr">
        <is>
          <t>ÖREBRO LÄN</t>
        </is>
      </c>
      <c r="E149" t="inlineStr">
        <is>
          <t>HALLSBERG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28286-2020</t>
        </is>
      </c>
      <c r="B150" s="1" t="n">
        <v>43998</v>
      </c>
      <c r="C150" s="1" t="n">
        <v>45581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28316-2020</t>
        </is>
      </c>
      <c r="B151" s="1" t="n">
        <v>43998</v>
      </c>
      <c r="C151" s="1" t="n">
        <v>45581</v>
      </c>
      <c r="D151" t="inlineStr">
        <is>
          <t>ÖREBRO LÄN</t>
        </is>
      </c>
      <c r="E151" t="inlineStr">
        <is>
          <t>HALLSBERG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29156-2020</t>
        </is>
      </c>
      <c r="B152" s="1" t="n">
        <v>43999</v>
      </c>
      <c r="C152" s="1" t="n">
        <v>45581</v>
      </c>
      <c r="D152" t="inlineStr">
        <is>
          <t>ÖREBRO LÄN</t>
        </is>
      </c>
      <c r="E152" t="inlineStr">
        <is>
          <t>HALLSBERG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29804-2020</t>
        </is>
      </c>
      <c r="B153" s="1" t="n">
        <v>44006</v>
      </c>
      <c r="C153" s="1" t="n">
        <v>45581</v>
      </c>
      <c r="D153" t="inlineStr">
        <is>
          <t>ÖREBRO LÄN</t>
        </is>
      </c>
      <c r="E153" t="inlineStr">
        <is>
          <t>HALLSBERG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32887-2020</t>
        </is>
      </c>
      <c r="B154" s="1" t="n">
        <v>44018</v>
      </c>
      <c r="C154" s="1" t="n">
        <v>45581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32894-2020</t>
        </is>
      </c>
      <c r="B155" s="1" t="n">
        <v>44018</v>
      </c>
      <c r="C155" s="1" t="n">
        <v>45581</v>
      </c>
      <c r="D155" t="inlineStr">
        <is>
          <t>ÖREBRO LÄN</t>
        </is>
      </c>
      <c r="E155" t="inlineStr">
        <is>
          <t>HALLSBERG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33049-2020</t>
        </is>
      </c>
      <c r="B156" s="1" t="n">
        <v>44021</v>
      </c>
      <c r="C156" s="1" t="n">
        <v>45581</v>
      </c>
      <c r="D156" t="inlineStr">
        <is>
          <t>ÖREBRO LÄN</t>
        </is>
      </c>
      <c r="E156" t="inlineStr">
        <is>
          <t>HALLSBERG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37900-2020</t>
        </is>
      </c>
      <c r="B157" s="1" t="n">
        <v>44057</v>
      </c>
      <c r="C157" s="1" t="n">
        <v>45581</v>
      </c>
      <c r="D157" t="inlineStr">
        <is>
          <t>ÖREBRO LÄN</t>
        </is>
      </c>
      <c r="E157" t="inlineStr">
        <is>
          <t>HALLSBERG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37921-2020</t>
        </is>
      </c>
      <c r="B158" s="1" t="n">
        <v>44057</v>
      </c>
      <c r="C158" s="1" t="n">
        <v>45581</v>
      </c>
      <c r="D158" t="inlineStr">
        <is>
          <t>ÖREBRO LÄN</t>
        </is>
      </c>
      <c r="E158" t="inlineStr">
        <is>
          <t>HALLSBERG</t>
        </is>
      </c>
      <c r="G158" t="n">
        <v>15.9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37944-2020</t>
        </is>
      </c>
      <c r="B159" s="1" t="n">
        <v>44057</v>
      </c>
      <c r="C159" s="1" t="n">
        <v>45581</v>
      </c>
      <c r="D159" t="inlineStr">
        <is>
          <t>ÖREBRO LÄN</t>
        </is>
      </c>
      <c r="E159" t="inlineStr">
        <is>
          <t>HALLSBERG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39252-2020</t>
        </is>
      </c>
      <c r="B160" s="1" t="n">
        <v>44063</v>
      </c>
      <c r="C160" s="1" t="n">
        <v>45581</v>
      </c>
      <c r="D160" t="inlineStr">
        <is>
          <t>ÖREBRO LÄN</t>
        </is>
      </c>
      <c r="E160" t="inlineStr">
        <is>
          <t>HALLSBERG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39995-2020</t>
        </is>
      </c>
      <c r="B161" s="1" t="n">
        <v>44064</v>
      </c>
      <c r="C161" s="1" t="n">
        <v>45581</v>
      </c>
      <c r="D161" t="inlineStr">
        <is>
          <t>ÖREBRO LÄN</t>
        </is>
      </c>
      <c r="E161" t="inlineStr">
        <is>
          <t>HALLSBERG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41179-2020</t>
        </is>
      </c>
      <c r="B162" s="1" t="n">
        <v>44071</v>
      </c>
      <c r="C162" s="1" t="n">
        <v>45581</v>
      </c>
      <c r="D162" t="inlineStr">
        <is>
          <t>ÖREBRO LÄN</t>
        </is>
      </c>
      <c r="E162" t="inlineStr">
        <is>
          <t>HALLSBERG</t>
        </is>
      </c>
      <c r="G162" t="n">
        <v>21.1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42074-2020</t>
        </is>
      </c>
      <c r="B163" s="1" t="n">
        <v>44075</v>
      </c>
      <c r="C163" s="1" t="n">
        <v>45581</v>
      </c>
      <c r="D163" t="inlineStr">
        <is>
          <t>ÖREBRO LÄN</t>
        </is>
      </c>
      <c r="E163" t="inlineStr">
        <is>
          <t>HALLSBERG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43007-2020</t>
        </is>
      </c>
      <c r="B164" s="1" t="n">
        <v>44078</v>
      </c>
      <c r="C164" s="1" t="n">
        <v>45581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42903-2020</t>
        </is>
      </c>
      <c r="B165" s="1" t="n">
        <v>44078</v>
      </c>
      <c r="C165" s="1" t="n">
        <v>45581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46025-2020</t>
        </is>
      </c>
      <c r="B166" s="1" t="n">
        <v>44088</v>
      </c>
      <c r="C166" s="1" t="n">
        <v>45581</v>
      </c>
      <c r="D166" t="inlineStr">
        <is>
          <t>ÖREBRO LÄN</t>
        </is>
      </c>
      <c r="E166" t="inlineStr">
        <is>
          <t>HALLSBERG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46305-2020</t>
        </is>
      </c>
      <c r="B167" s="1" t="n">
        <v>44092</v>
      </c>
      <c r="C167" s="1" t="n">
        <v>45581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47322-2020</t>
        </is>
      </c>
      <c r="B168" s="1" t="n">
        <v>44097</v>
      </c>
      <c r="C168" s="1" t="n">
        <v>45581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48725-2020</t>
        </is>
      </c>
      <c r="B169" s="1" t="n">
        <v>44099</v>
      </c>
      <c r="C169" s="1" t="n">
        <v>45581</v>
      </c>
      <c r="D169" t="inlineStr">
        <is>
          <t>ÖREBRO LÄN</t>
        </is>
      </c>
      <c r="E169" t="inlineStr">
        <is>
          <t>HALLSBERG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58208-2020</t>
        </is>
      </c>
      <c r="B170" s="1" t="n">
        <v>44144</v>
      </c>
      <c r="C170" s="1" t="n">
        <v>45581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58215-2020</t>
        </is>
      </c>
      <c r="B171" s="1" t="n">
        <v>44144</v>
      </c>
      <c r="C171" s="1" t="n">
        <v>45581</v>
      </c>
      <c r="D171" t="inlineStr">
        <is>
          <t>ÖREBRO LÄN</t>
        </is>
      </c>
      <c r="E171" t="inlineStr">
        <is>
          <t>HALLSBERG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59076-2020</t>
        </is>
      </c>
      <c r="B172" s="1" t="n">
        <v>44147</v>
      </c>
      <c r="C172" s="1" t="n">
        <v>45581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60548-2020</t>
        </is>
      </c>
      <c r="B173" s="1" t="n">
        <v>44153</v>
      </c>
      <c r="C173" s="1" t="n">
        <v>45581</v>
      </c>
      <c r="D173" t="inlineStr">
        <is>
          <t>ÖREBRO LÄN</t>
        </is>
      </c>
      <c r="E173" t="inlineStr">
        <is>
          <t>HALLSBERG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62939-2020</t>
        </is>
      </c>
      <c r="B174" s="1" t="n">
        <v>44161</v>
      </c>
      <c r="C174" s="1" t="n">
        <v>45581</v>
      </c>
      <c r="D174" t="inlineStr">
        <is>
          <t>ÖREBRO LÄN</t>
        </is>
      </c>
      <c r="E174" t="inlineStr">
        <is>
          <t>HALLSBERG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63748-2020</t>
        </is>
      </c>
      <c r="B175" s="1" t="n">
        <v>44166</v>
      </c>
      <c r="C175" s="1" t="n">
        <v>45581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127-2021</t>
        </is>
      </c>
      <c r="B176" s="1" t="n">
        <v>44200</v>
      </c>
      <c r="C176" s="1" t="n">
        <v>45581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1618-2021</t>
        </is>
      </c>
      <c r="B177" s="1" t="n">
        <v>44209</v>
      </c>
      <c r="C177" s="1" t="n">
        <v>45581</v>
      </c>
      <c r="D177" t="inlineStr">
        <is>
          <t>ÖREBRO LÄN</t>
        </is>
      </c>
      <c r="E177" t="inlineStr">
        <is>
          <t>HALLSBERG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2303-2021</t>
        </is>
      </c>
      <c r="B178" s="1" t="n">
        <v>44213</v>
      </c>
      <c r="C178" s="1" t="n">
        <v>45581</v>
      </c>
      <c r="D178" t="inlineStr">
        <is>
          <t>ÖREBRO LÄN</t>
        </is>
      </c>
      <c r="E178" t="inlineStr">
        <is>
          <t>HALLSBERG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5101-2021</t>
        </is>
      </c>
      <c r="B179" s="1" t="n">
        <v>44224</v>
      </c>
      <c r="C179" s="1" t="n">
        <v>45581</v>
      </c>
      <c r="D179" t="inlineStr">
        <is>
          <t>ÖREBRO LÄN</t>
        </is>
      </c>
      <c r="E179" t="inlineStr">
        <is>
          <t>HALLSBERG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5651-2021</t>
        </is>
      </c>
      <c r="B180" s="1" t="n">
        <v>44230</v>
      </c>
      <c r="C180" s="1" t="n">
        <v>45581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7188-2021</t>
        </is>
      </c>
      <c r="B181" s="1" t="n">
        <v>44238</v>
      </c>
      <c r="C181" s="1" t="n">
        <v>45581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10691-2021</t>
        </is>
      </c>
      <c r="B182" s="1" t="n">
        <v>44258</v>
      </c>
      <c r="C182" s="1" t="n">
        <v>45581</v>
      </c>
      <c r="D182" t="inlineStr">
        <is>
          <t>ÖREBRO LÄN</t>
        </is>
      </c>
      <c r="E182" t="inlineStr">
        <is>
          <t>HALLSBERG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12461-2021</t>
        </is>
      </c>
      <c r="B183" s="1" t="n">
        <v>44267</v>
      </c>
      <c r="C183" s="1" t="n">
        <v>45581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20335-2021</t>
        </is>
      </c>
      <c r="B184" s="1" t="n">
        <v>44315</v>
      </c>
      <c r="C184" s="1" t="n">
        <v>45581</v>
      </c>
      <c r="D184" t="inlineStr">
        <is>
          <t>ÖREBRO LÄN</t>
        </is>
      </c>
      <c r="E184" t="inlineStr">
        <is>
          <t>HALLSBERG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23856-2021</t>
        </is>
      </c>
      <c r="B185" s="1" t="n">
        <v>44335</v>
      </c>
      <c r="C185" s="1" t="n">
        <v>45581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24045-2021</t>
        </is>
      </c>
      <c r="B186" s="1" t="n">
        <v>44336</v>
      </c>
      <c r="C186" s="1" t="n">
        <v>45581</v>
      </c>
      <c r="D186" t="inlineStr">
        <is>
          <t>ÖREBRO LÄN</t>
        </is>
      </c>
      <c r="E186" t="inlineStr">
        <is>
          <t>HALLSBERG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24876-2021</t>
        </is>
      </c>
      <c r="B187" s="1" t="n">
        <v>44341</v>
      </c>
      <c r="C187" s="1" t="n">
        <v>45581</v>
      </c>
      <c r="D187" t="inlineStr">
        <is>
          <t>ÖREBRO LÄN</t>
        </is>
      </c>
      <c r="E187" t="inlineStr">
        <is>
          <t>HALLSBERG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24897-2021</t>
        </is>
      </c>
      <c r="B188" s="1" t="n">
        <v>44341</v>
      </c>
      <c r="C188" s="1" t="n">
        <v>45581</v>
      </c>
      <c r="D188" t="inlineStr">
        <is>
          <t>ÖREBRO LÄN</t>
        </is>
      </c>
      <c r="E188" t="inlineStr">
        <is>
          <t>HALLSBERG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45581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45581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45581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45581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45581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45581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45581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45581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45581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45581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45581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45581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45581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45581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45581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45581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45581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45581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45581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45581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45581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45581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45581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45581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45581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45581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45581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45581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45581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45581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45581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45581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45581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45581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45581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45581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45581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45581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45581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45581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45581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45581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45581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45581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45581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45581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45581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45581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45581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45581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45581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45581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45581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45581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45581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45581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45581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45581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45581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45581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45581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45581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45581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45581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45581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45581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45581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45581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45581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45581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45581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45581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45581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45581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45581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45581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45581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45581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45581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45581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45581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45581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45581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45581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45581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45581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45581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45581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45581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45581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45581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45581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45581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45581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45581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45581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45581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45581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45581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45581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45581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45581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45581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45581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45581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45581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45581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45581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45581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45581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45581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45581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45581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45581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45581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45581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45581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45581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45581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45581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45581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45581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45581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45581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45581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45581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45581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45581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45581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45581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45581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45581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45581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45581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45581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45581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45581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45581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45581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45581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45581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45581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45581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45581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45581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45581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45581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45581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45581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45581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45581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45581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45581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45581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45581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45581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45581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45581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45581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45581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45581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45581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45581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45581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45581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45581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45581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45581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45581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45581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45581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45581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45581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45581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45581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45581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45581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45581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45581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45581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45581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45581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45581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45581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45581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45581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45581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45581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45581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45581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45581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45581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45581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45581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45581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45581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45581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45581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45581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45581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45581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45581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45581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45581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45581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45581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45581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45581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45581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45581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45581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45581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45581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45581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45581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45581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45581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45581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45581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45581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45581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45581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45581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45581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45581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45581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45581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45581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45581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45581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45581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45581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45581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45581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45581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45581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45581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45581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45581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45581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45581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45581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45581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45581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45581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45581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45581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45581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45581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45581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45581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45581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45581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45581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45581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45581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45581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45581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45581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45581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45581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45581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45581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45581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45581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45581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45581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45581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45581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45581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45581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45581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45581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45581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45581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45581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45581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45581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45581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45581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45581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45581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45581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45581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45581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45581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45581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45581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45581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45581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45581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45581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45581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45581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45581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45581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45581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45581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45581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45581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45581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45581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45581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45581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45581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45581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45581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45581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45581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45581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45581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45581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45581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45581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45581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45581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45581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45581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45581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45581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45581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45581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45581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45581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45581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45581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45581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45581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45581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45581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45581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45581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45581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45581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45581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45581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45581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45581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45581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45581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45581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45581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45581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45581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45581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45581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45581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44616-2024</t>
        </is>
      </c>
      <c r="B536" s="1" t="n">
        <v>45574</v>
      </c>
      <c r="C536" s="1" t="n">
        <v>45581</v>
      </c>
      <c r="D536" t="inlineStr">
        <is>
          <t>ÖREBRO LÄN</t>
        </is>
      </c>
      <c r="E536" t="inlineStr">
        <is>
          <t>HALLSBERG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45581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45300-2024</t>
        </is>
      </c>
      <c r="B538" s="1" t="n">
        <v>45576</v>
      </c>
      <c r="C538" s="1" t="n">
        <v>45581</v>
      </c>
      <c r="D538" t="inlineStr">
        <is>
          <t>ÖREBRO LÄN</t>
        </is>
      </c>
      <c r="E538" t="inlineStr">
        <is>
          <t>HALLSBERG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46055-2024</t>
        </is>
      </c>
      <c r="B539" s="1" t="n">
        <v>45580</v>
      </c>
      <c r="C539" s="1" t="n">
        <v>45581</v>
      </c>
      <c r="D539" t="inlineStr">
        <is>
          <t>ÖREBRO LÄN</t>
        </is>
      </c>
      <c r="E539" t="inlineStr">
        <is>
          <t>HALLSBERG</t>
        </is>
      </c>
      <c r="F539" t="inlineStr">
        <is>
          <t>Övriga Aktiebolag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46061-2024</t>
        </is>
      </c>
      <c r="B540" s="1" t="n">
        <v>45581</v>
      </c>
      <c r="C540" s="1" t="n">
        <v>45581</v>
      </c>
      <c r="D540" t="inlineStr">
        <is>
          <t>ÖREBRO LÄN</t>
        </is>
      </c>
      <c r="E540" t="inlineStr">
        <is>
          <t>HALLSBERG</t>
        </is>
      </c>
      <c r="F540" t="inlineStr">
        <is>
          <t>Övriga Aktiebolag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2024-10-16T13:07:35Z</dcterms:created>
  <dcterms:modified xmlns:dcterms="http://purl.org/dc/terms/" xmlns:xsi="http://www.w3.org/2001/XMLSchema-instance" xsi:type="dcterms:W3CDTF">2024-10-16T13:07:35Z</dcterms:modified>
</cp:coreProperties>
</file>