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46282</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46282</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46282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46282</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46282</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46282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46282</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46282</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46282</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46282</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46282</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46282</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46282</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46282</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46282</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46282</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46282</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46282</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46282</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46282</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46282</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46282</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46282</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46282</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46282</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46282</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46282</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46282</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46282</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46282</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46282</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46282</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30011-2026</t>
        </is>
      </c>
      <c r="B38" t="inlineStr">
        <is>
          <t>avverkningsanmälan</t>
        </is>
      </c>
      <c r="C38" t="inlineStr">
        <is>
          <t>Föryngringsavverkning</t>
        </is>
      </c>
      <c r="D38" s="1" t="n">
        <v>46206</v>
      </c>
      <c r="E38" s="1" t="n">
        <v>46282</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34227-2026</t>
        </is>
      </c>
      <c r="B39" t="inlineStr">
        <is>
          <t>avverkningsanmälan</t>
        </is>
      </c>
      <c r="C39" t="inlineStr">
        <is>
          <t>Föryngringsavverkning</t>
        </is>
      </c>
      <c r="D39" s="1" t="n">
        <v>46253</v>
      </c>
      <c r="E39" s="1" t="n">
        <v>46282</v>
      </c>
      <c r="F39" t="inlineStr">
        <is>
          <t>ÖREBRO LÄN</t>
        </is>
      </c>
      <c r="G39" t="inlineStr">
        <is>
          <t>HALLSBERG</t>
        </is>
      </c>
      <c r="H39" t="inlineStr">
        <is>
          <t>Allmännings- och besparingsskogar</t>
        </is>
      </c>
      <c r="I39" t="n">
        <v>4.3</v>
      </c>
      <c r="J39" t="n">
        <v>0</v>
      </c>
      <c r="K39" t="n">
        <v>3</v>
      </c>
      <c r="L39" t="n">
        <v>0</v>
      </c>
      <c r="M39" t="n">
        <v>0</v>
      </c>
      <c r="N39" t="n">
        <v>0</v>
      </c>
      <c r="O39" t="n">
        <v>0</v>
      </c>
      <c r="P39" t="n">
        <v>0</v>
      </c>
      <c r="Q39" t="n">
        <v>0</v>
      </c>
      <c r="R39" t="n">
        <v>0</v>
      </c>
      <c r="S39" t="n">
        <v>3</v>
      </c>
      <c r="T39" t="n">
        <v>3</v>
      </c>
      <c r="U39" t="n">
        <v>0</v>
      </c>
      <c r="V39" s="2" t="inlineStr">
        <is>
          <t>Björksplintborre
Dolkstekelsglasvinge
Mindre märgborre</t>
        </is>
      </c>
      <c r="W39">
        <f>HYPERLINK("https://klasma.github.io/Logging_1861/artfynd/A 34227-2026 artfynd.xlsx", "A 34227-2026")</f>
        <v/>
      </c>
      <c r="X39">
        <f>HYPERLINK("https://klasma.github.io/Logging_1861/kartor/A 34227-2026 karta.png", "A 34227-2026")</f>
        <v/>
      </c>
      <c r="Y39">
        <f>HYPERLINK("https://klasma.github.io/Logging_1861/kartor_geotiff/A 34227-2026 georefererad karta.tif", "A 34227-2026")</f>
        <v/>
      </c>
      <c r="AA39">
        <f>HYPERLINK("https://klasma.github.io/Logging_1861/klagomål/A 34227-2026 FSC-klagomål.docx", "A 34227-2026")</f>
        <v/>
      </c>
      <c r="AB39">
        <f>HYPERLINK("https://klasma.github.io/Logging_1861/klagomålsmail/A 34227-2026 FSC-klagomål mail.docx", "A 34227-2026")</f>
        <v/>
      </c>
      <c r="AC39">
        <f>HYPERLINK("https://klasma.github.io/Logging_1861/tillsyn/A 34227-2026 tillsynsbegäran.docx", "A 34227-2026")</f>
        <v/>
      </c>
      <c r="AD39">
        <f>HYPERLINK("https://klasma.github.io/Logging_1861/tillsynsmail/A 34227-2026 tillsynsbegäran mail.docx", "A 34227-2026")</f>
        <v/>
      </c>
    </row>
    <row r="40" ht="15" customHeight="1">
      <c r="A40" t="inlineStr">
        <is>
          <t>A 32213-2026</t>
        </is>
      </c>
      <c r="B40" t="inlineStr">
        <is>
          <t>avverkningsanmälan</t>
        </is>
      </c>
      <c r="C40" t="inlineStr">
        <is>
          <t>Föryngringsavverkning</t>
        </is>
      </c>
      <c r="D40" s="1" t="n">
        <v>46237</v>
      </c>
      <c r="E40" s="1" t="n">
        <v>46282</v>
      </c>
      <c r="F40" t="inlineStr">
        <is>
          <t>ÖREBRO LÄN</t>
        </is>
      </c>
      <c r="G40" t="inlineStr">
        <is>
          <t>HALLSBERG</t>
        </is>
      </c>
      <c r="H40" t="inlineStr">
        <is>
          <t>Sveaskog</t>
        </is>
      </c>
      <c r="I40" t="n">
        <v>1.1</v>
      </c>
      <c r="J40" t="n">
        <v>0</v>
      </c>
      <c r="K40" t="n">
        <v>2</v>
      </c>
      <c r="L40" t="n">
        <v>1</v>
      </c>
      <c r="M40" t="n">
        <v>0</v>
      </c>
      <c r="N40" t="n">
        <v>0</v>
      </c>
      <c r="O40" t="n">
        <v>0</v>
      </c>
      <c r="P40" t="n">
        <v>0</v>
      </c>
      <c r="Q40" t="n">
        <v>1</v>
      </c>
      <c r="R40" t="n">
        <v>0</v>
      </c>
      <c r="S40" t="n">
        <v>3</v>
      </c>
      <c r="T40" t="n">
        <v>3</v>
      </c>
      <c r="U40" t="n">
        <v>0</v>
      </c>
      <c r="V40" s="2" t="inlineStr">
        <is>
          <t>Motaggsvamp
Blåmossa
Rostfläck</t>
        </is>
      </c>
      <c r="W40">
        <f>HYPERLINK("https://klasma.github.io/Logging_1861/artfynd/A 32213-2026 artfynd.xlsx", "A 32213-2026")</f>
        <v/>
      </c>
      <c r="X40">
        <f>HYPERLINK("https://klasma.github.io/Logging_1861/kartor/A 32213-2026 karta.png", "A 32213-2026")</f>
        <v/>
      </c>
      <c r="Y40">
        <f>HYPERLINK("https://klasma.github.io/Logging_1861/kartor_geotiff/A 32213-2026 georefererad karta.tif", "A 32213-2026")</f>
        <v/>
      </c>
      <c r="AA40">
        <f>HYPERLINK("https://klasma.github.io/Logging_1861/klagomål/A 32213-2026 FSC-klagomål.docx", "A 32213-2026")</f>
        <v/>
      </c>
      <c r="AB40">
        <f>HYPERLINK("https://klasma.github.io/Logging_1861/klagomålsmail/A 32213-2026 FSC-klagomål mail.docx", "A 32213-2026")</f>
        <v/>
      </c>
      <c r="AC40">
        <f>HYPERLINK("https://klasma.github.io/Logging_1861/tillsyn/A 32213-2026 tillsynsbegäran.docx", "A 32213-2026")</f>
        <v/>
      </c>
      <c r="AD40">
        <f>HYPERLINK("https://klasma.github.io/Logging_1861/tillsynsmail/A 32213-2026 tillsynsbegäran mail.docx", "A 32213-2026")</f>
        <v/>
      </c>
    </row>
    <row r="41" ht="15" customHeight="1">
      <c r="A41" t="inlineStr">
        <is>
          <t>A 58462-2021</t>
        </is>
      </c>
      <c r="B41" t="inlineStr">
        <is>
          <t>avverkningsanmälan</t>
        </is>
      </c>
      <c r="C41" t="inlineStr">
        <is>
          <t>Föryngringsavverkning</t>
        </is>
      </c>
      <c r="D41" s="1" t="n">
        <v>44488</v>
      </c>
      <c r="E41" s="1" t="n">
        <v>46282</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46282</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46282</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39249-2022</t>
        </is>
      </c>
      <c r="B44" t="inlineStr">
        <is>
          <t>avverkningsanmälan</t>
        </is>
      </c>
      <c r="C44" t="inlineStr">
        <is>
          <t>Föryngringsavverkning</t>
        </is>
      </c>
      <c r="D44" s="1" t="n">
        <v>44816</v>
      </c>
      <c r="E44" s="1" t="n">
        <v>46282</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31747-2022</t>
        </is>
      </c>
      <c r="B45" t="inlineStr">
        <is>
          <t>avverkningsanmälan</t>
        </is>
      </c>
      <c r="C45" t="inlineStr">
        <is>
          <t>Föryngringsavverkning</t>
        </is>
      </c>
      <c r="D45" s="1" t="n">
        <v>44776</v>
      </c>
      <c r="E45" s="1" t="n">
        <v>46282</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46282</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20942-2026</t>
        </is>
      </c>
      <c r="B47" t="inlineStr">
        <is>
          <t>avverkningsanmälan</t>
        </is>
      </c>
      <c r="C47" t="inlineStr">
        <is>
          <t>Föryngringsavverkning</t>
        </is>
      </c>
      <c r="D47" s="1" t="n">
        <v>46142</v>
      </c>
      <c r="E47" s="1" t="n">
        <v>46282</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t="n">
        <v>0</v>
      </c>
      <c r="V47" s="2" t="inlineStr">
        <is>
          <t>Terpentinmossa
Tvåblad</t>
        </is>
      </c>
      <c r="W47">
        <f>HYPERLINK("https://klasma.github.io/Logging_1861/artfynd/A 20942-2026 artfynd.xlsx", "A 20942-2026")</f>
        <v/>
      </c>
      <c r="X47">
        <f>HYPERLINK("https://klasma.github.io/Logging_1861/kartor/A 20942-2026 karta.png", "A 20942-2026")</f>
        <v/>
      </c>
      <c r="Y47">
        <f>HYPERLINK("https://klasma.github.io/Logging_1861/kartor_geotiff/A 20942-2026 georefererad karta.tif", "A 20942-2026")</f>
        <v/>
      </c>
      <c r="AA47">
        <f>HYPERLINK("https://klasma.github.io/Logging_1861/klagomål/A 20942-2026 FSC-klagomål.docx", "A 20942-2026")</f>
        <v/>
      </c>
      <c r="AB47">
        <f>HYPERLINK("https://klasma.github.io/Logging_1861/klagomålsmail/A 20942-2026 FSC-klagomål mail.docx", "A 20942-2026")</f>
        <v/>
      </c>
      <c r="AC47">
        <f>HYPERLINK("https://klasma.github.io/Logging_1861/tillsyn/A 20942-2026 tillsynsbegäran.docx", "A 20942-2026")</f>
        <v/>
      </c>
      <c r="AD47">
        <f>HYPERLINK("https://klasma.github.io/Logging_1861/tillsynsmail/A 20942-2026 tillsynsbegäran mail.docx", "A 20942-2026")</f>
        <v/>
      </c>
    </row>
    <row r="48" ht="15" customHeight="1">
      <c r="A48" t="inlineStr">
        <is>
          <t>A 30594-2022</t>
        </is>
      </c>
      <c r="B48" t="inlineStr">
        <is>
          <t>avverkningsanmälan</t>
        </is>
      </c>
      <c r="C48" t="inlineStr">
        <is>
          <t>Föryngringsavverkning</t>
        </is>
      </c>
      <c r="D48" s="1" t="n">
        <v>44762</v>
      </c>
      <c r="E48" s="1" t="n">
        <v>46282</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14064-2024</t>
        </is>
      </c>
      <c r="B49" t="inlineStr">
        <is>
          <t>avverkningsanmälan</t>
        </is>
      </c>
      <c r="C49" t="inlineStr">
        <is>
          <t>Föryngringsavverkning</t>
        </is>
      </c>
      <c r="D49" s="1" t="n">
        <v>45392</v>
      </c>
      <c r="E49" s="1" t="n">
        <v>46282</v>
      </c>
      <c r="F49" t="inlineStr">
        <is>
          <t>ÖREBRO LÄN</t>
        </is>
      </c>
      <c r="G49" t="inlineStr">
        <is>
          <t>HALLSBERG</t>
        </is>
      </c>
      <c r="I49" t="n">
        <v>4</v>
      </c>
      <c r="J49" t="n">
        <v>2</v>
      </c>
      <c r="K49" t="n">
        <v>0</v>
      </c>
      <c r="L49" t="n">
        <v>0</v>
      </c>
      <c r="M49" t="n">
        <v>0</v>
      </c>
      <c r="N49" t="n">
        <v>0</v>
      </c>
      <c r="O49" t="n">
        <v>0</v>
      </c>
      <c r="P49" t="n">
        <v>0</v>
      </c>
      <c r="Q49" t="n">
        <v>0</v>
      </c>
      <c r="R49" t="n">
        <v>0</v>
      </c>
      <c r="S49" t="n">
        <v>2</v>
      </c>
      <c r="T49" t="n">
        <v>4</v>
      </c>
      <c r="U49" t="n">
        <v>4</v>
      </c>
      <c r="V49" s="2" t="inlineStr">
        <is>
          <t>Blåsippa
Mattlummer</t>
        </is>
      </c>
      <c r="W49">
        <f>HYPERLINK("https://klasma.github.io/Logging_1861/artfynd/A 14064-2024 artfynd.xlsx", "A 14064-2024")</f>
        <v/>
      </c>
      <c r="X49">
        <f>HYPERLINK("https://klasma.github.io/Logging_1861/kartor/A 14064-2024 karta.png", "A 14064-2024")</f>
        <v/>
      </c>
      <c r="Y49">
        <f>HYPERLINK("https://klasma.github.io/Logging_1861/kartor_geotiff/A 14064-2024 georefererad karta.tif", "A 14064-2024")</f>
        <v/>
      </c>
      <c r="AA49">
        <f>HYPERLINK("https://klasma.github.io/Logging_1861/klagomål/A 14064-2024 FSC-klagomål.docx", "A 14064-2024")</f>
        <v/>
      </c>
      <c r="AB49">
        <f>HYPERLINK("https://klasma.github.io/Logging_1861/klagomålsmail/A 14064-2024 FSC-klagomål mail.docx", "A 14064-2024")</f>
        <v/>
      </c>
      <c r="AC49">
        <f>HYPERLINK("https://klasma.github.io/Logging_1861/tillsyn/A 14064-2024 tillsynsbegäran.docx", "A 14064-2024")</f>
        <v/>
      </c>
      <c r="AD49">
        <f>HYPERLINK("https://klasma.github.io/Logging_1861/tillsynsmail/A 14064-2024 tillsynsbegäran mail.docx", "A 14064-2024")</f>
        <v/>
      </c>
    </row>
    <row r="50" ht="15" customHeight="1">
      <c r="A50" t="inlineStr">
        <is>
          <t>A 64813-2023</t>
        </is>
      </c>
      <c r="B50" t="inlineStr">
        <is>
          <t>avverkningsanmälan</t>
        </is>
      </c>
      <c r="C50" t="inlineStr">
        <is>
          <t>Avverkning för att bevara och utveckla /försöksver</t>
        </is>
      </c>
      <c r="D50" s="1" t="n">
        <v>45282</v>
      </c>
      <c r="E50" s="1" t="n">
        <v>46282</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33283-2026</t>
        </is>
      </c>
      <c r="B51" t="inlineStr">
        <is>
          <t>avverkningsanmälan</t>
        </is>
      </c>
      <c r="C51" t="inlineStr">
        <is>
          <t>Föryngringsavverkning</t>
        </is>
      </c>
      <c r="D51" s="1" t="n">
        <v>46246</v>
      </c>
      <c r="E51" s="1" t="n">
        <v>46282</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35461-2026</t>
        </is>
      </c>
      <c r="B52" t="inlineStr">
        <is>
          <t>avverkningsanmälan</t>
        </is>
      </c>
      <c r="C52" t="inlineStr">
        <is>
          <t>Föryngringsavverkning</t>
        </is>
      </c>
      <c r="D52" s="1" t="n">
        <v>46262</v>
      </c>
      <c r="E52" s="1" t="n">
        <v>46282</v>
      </c>
      <c r="F52" t="inlineStr">
        <is>
          <t>ÖREBRO LÄN</t>
        </is>
      </c>
      <c r="G52" t="inlineStr">
        <is>
          <t>HALLSBERG</t>
        </is>
      </c>
      <c r="H52" t="inlineStr">
        <is>
          <t>Allmännings- och besparingsskogar</t>
        </is>
      </c>
      <c r="I52" t="n">
        <v>9.1</v>
      </c>
      <c r="J52" t="n">
        <v>0</v>
      </c>
      <c r="K52" t="n">
        <v>0</v>
      </c>
      <c r="L52" t="n">
        <v>2</v>
      </c>
      <c r="M52" t="n">
        <v>0</v>
      </c>
      <c r="N52" t="n">
        <v>0</v>
      </c>
      <c r="O52" t="n">
        <v>0</v>
      </c>
      <c r="P52" t="n">
        <v>0</v>
      </c>
      <c r="Q52" t="n">
        <v>2</v>
      </c>
      <c r="R52" t="n">
        <v>0</v>
      </c>
      <c r="S52" t="n">
        <v>2</v>
      </c>
      <c r="T52" t="n">
        <v>2</v>
      </c>
      <c r="U52" t="n">
        <v>0</v>
      </c>
      <c r="V52" s="2" t="inlineStr">
        <is>
          <t>Brunklöver
Sommargökbi</t>
        </is>
      </c>
      <c r="W52">
        <f>HYPERLINK("https://klasma.github.io/Logging_1861/artfynd/A 35461-2026 artfynd.xlsx", "A 35461-2026")</f>
        <v/>
      </c>
      <c r="X52">
        <f>HYPERLINK("https://klasma.github.io/Logging_1861/kartor/A 35461-2026 karta.png", "A 35461-2026")</f>
        <v/>
      </c>
      <c r="Y52">
        <f>HYPERLINK("https://klasma.github.io/Logging_1861/kartor_geotiff/A 35461-2026 georefererad karta.tif", "A 35461-2026")</f>
        <v/>
      </c>
      <c r="AA52">
        <f>HYPERLINK("https://klasma.github.io/Logging_1861/klagomål/A 35461-2026 FSC-klagomål.docx", "A 35461-2026")</f>
        <v/>
      </c>
      <c r="AB52">
        <f>HYPERLINK("https://klasma.github.io/Logging_1861/klagomålsmail/A 35461-2026 FSC-klagomål mail.docx", "A 35461-2026")</f>
        <v/>
      </c>
      <c r="AC52">
        <f>HYPERLINK("https://klasma.github.io/Logging_1861/tillsyn/A 35461-2026 tillsynsbegäran.docx", "A 35461-2026")</f>
        <v/>
      </c>
      <c r="AD52">
        <f>HYPERLINK("https://klasma.github.io/Logging_1861/tillsynsmail/A 35461-2026 tillsynsbegäran mail.docx", "A 35461-2026")</f>
        <v/>
      </c>
    </row>
    <row r="53" ht="15" customHeight="1">
      <c r="A53" t="inlineStr">
        <is>
          <t>A 14619-2024</t>
        </is>
      </c>
      <c r="B53" t="inlineStr">
        <is>
          <t>avverkningsanmälan</t>
        </is>
      </c>
      <c r="C53" t="inlineStr">
        <is>
          <t>Avverkning för att bevara och utveckla /försöksver</t>
        </is>
      </c>
      <c r="D53" s="1" t="n">
        <v>45397</v>
      </c>
      <c r="E53" s="1" t="n">
        <v>46282</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S 1797-2024</t>
        </is>
      </c>
      <c r="B54" t="inlineStr">
        <is>
          <t>samrådsanmälan</t>
        </is>
      </c>
      <c r="C54" t="inlineStr">
        <is>
          <t>Annan skogsbruksåtgärd</t>
        </is>
      </c>
      <c r="D54" s="1" t="n">
        <v>45436</v>
      </c>
      <c r="E54" s="1" t="n">
        <v>46282</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46282</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46282</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46282</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46282</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46282</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46282</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46282</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25471-2025</t>
        </is>
      </c>
      <c r="B62" t="inlineStr">
        <is>
          <t>avverkningsanmälan</t>
        </is>
      </c>
      <c r="C62" t="inlineStr">
        <is>
          <t>Föryngringsavverkning</t>
        </is>
      </c>
      <c r="D62" s="1" t="n">
        <v>45802</v>
      </c>
      <c r="E62" s="1" t="n">
        <v>46282</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45862-2023</t>
        </is>
      </c>
      <c r="B63" t="inlineStr">
        <is>
          <t>avverkningsanmälan</t>
        </is>
      </c>
      <c r="C63" t="inlineStr">
        <is>
          <t>Föryngringsavverkning</t>
        </is>
      </c>
      <c r="D63" s="1" t="n">
        <v>45195</v>
      </c>
      <c r="E63" s="1" t="n">
        <v>46282</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41807-2025</t>
        </is>
      </c>
      <c r="B64" t="inlineStr">
        <is>
          <t>avverkningsanmälan</t>
        </is>
      </c>
      <c r="C64" t="inlineStr">
        <is>
          <t>Föryngringsavverkning</t>
        </is>
      </c>
      <c r="D64" s="1" t="n">
        <v>45902</v>
      </c>
      <c r="E64" s="1" t="n">
        <v>46282</v>
      </c>
      <c r="F64" t="inlineStr">
        <is>
          <t>ÖREBRO LÄN</t>
        </is>
      </c>
      <c r="G64" t="inlineStr">
        <is>
          <t>HALLSBERG</t>
        </is>
      </c>
      <c r="I64" t="n">
        <v>5.1</v>
      </c>
      <c r="J64" t="n">
        <v>1</v>
      </c>
      <c r="K64" t="n">
        <v>0</v>
      </c>
      <c r="L64" t="n">
        <v>0</v>
      </c>
      <c r="M64" t="n">
        <v>0</v>
      </c>
      <c r="N64" t="n">
        <v>0</v>
      </c>
      <c r="O64" t="n">
        <v>0</v>
      </c>
      <c r="P64" t="n">
        <v>0</v>
      </c>
      <c r="Q64" t="n">
        <v>0</v>
      </c>
      <c r="R64" t="n">
        <v>0</v>
      </c>
      <c r="S64" t="n">
        <v>1</v>
      </c>
      <c r="T64" t="n">
        <v>1</v>
      </c>
      <c r="U64" t="n">
        <v>0</v>
      </c>
      <c r="V64" s="2" t="inlineStr">
        <is>
          <t>Svartvit flugsnappare</t>
        </is>
      </c>
      <c r="W64">
        <f>HYPERLINK("https://klasma.github.io/Logging_1861/artfynd/A 41807-2025 artfynd.xlsx", "A 41807-2025")</f>
        <v/>
      </c>
      <c r="X64">
        <f>HYPERLINK("https://klasma.github.io/Logging_1861/kartor/A 41807-2025 karta.png", "A 41807-2025")</f>
        <v/>
      </c>
      <c r="Y64">
        <f>HYPERLINK("https://klasma.github.io/Logging_1861/kartor_geotiff/A 41807-2025 georefererad karta.tif", "A 41807-2025")</f>
        <v/>
      </c>
      <c r="AA64">
        <f>HYPERLINK("https://klasma.github.io/Logging_1861/klagomål/A 41807-2025 FSC-klagomål.docx", "A 41807-2025")</f>
        <v/>
      </c>
      <c r="AB64">
        <f>HYPERLINK("https://klasma.github.io/Logging_1861/klagomålsmail/A 41807-2025 FSC-klagomål mail.docx", "A 41807-2025")</f>
        <v/>
      </c>
      <c r="AC64">
        <f>HYPERLINK("https://klasma.github.io/Logging_1861/tillsyn/A 41807-2025 tillsynsbegäran.docx", "A 41807-2025")</f>
        <v/>
      </c>
      <c r="AD64">
        <f>HYPERLINK("https://klasma.github.io/Logging_1861/tillsynsmail/A 41807-2025 tillsynsbegäran mail.docx", "A 41807-2025")</f>
        <v/>
      </c>
    </row>
    <row r="65" ht="15" customHeight="1">
      <c r="A65" t="inlineStr">
        <is>
          <t>A 17017-2023</t>
        </is>
      </c>
      <c r="B65" t="inlineStr">
        <is>
          <t>avverkningsanmälan</t>
        </is>
      </c>
      <c r="C65" t="inlineStr">
        <is>
          <t>Föryngringsavverkning</t>
        </is>
      </c>
      <c r="D65" s="1" t="n">
        <v>45034</v>
      </c>
      <c r="E65" s="1" t="n">
        <v>46282</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t="n">
        <v>1</v>
      </c>
      <c r="V65" s="2" t="inlineStr">
        <is>
          <t>Ask</t>
        </is>
      </c>
      <c r="W65">
        <f>HYPERLINK("https://klasma.github.io/Logging_1861/artfynd/A 17017-2023 artfynd.xlsx", "A 17017-2023")</f>
        <v/>
      </c>
      <c r="X65">
        <f>HYPERLINK("https://klasma.github.io/Logging_1861/kartor/A 17017-2023 karta.png", "A 17017-2023")</f>
        <v/>
      </c>
      <c r="Y65">
        <f>HYPERLINK("https://klasma.github.io/Logging_1861/kartor_geotiff/A 17017-2023 georefererad karta.tif", "A 17017-2023")</f>
        <v/>
      </c>
      <c r="AA65">
        <f>HYPERLINK("https://klasma.github.io/Logging_1861/klagomål/A 17017-2023 FSC-klagomål.docx", "A 17017-2023")</f>
        <v/>
      </c>
      <c r="AB65">
        <f>HYPERLINK("https://klasma.github.io/Logging_1861/klagomålsmail/A 17017-2023 FSC-klagomål mail.docx", "A 17017-2023")</f>
        <v/>
      </c>
      <c r="AC65">
        <f>HYPERLINK("https://klasma.github.io/Logging_1861/tillsyn/A 17017-2023 tillsynsbegäran.docx", "A 17017-2023")</f>
        <v/>
      </c>
      <c r="AD65">
        <f>HYPERLINK("https://klasma.github.io/Logging_1861/tillsynsmail/A 17017-2023 tillsynsbegäran mail.docx", "A 17017-2023")</f>
        <v/>
      </c>
    </row>
    <row r="66" ht="15" customHeight="1">
      <c r="A66" t="inlineStr">
        <is>
          <t>A 43380-2025</t>
        </is>
      </c>
      <c r="B66" t="inlineStr">
        <is>
          <t>avverkningsanmälan</t>
        </is>
      </c>
      <c r="C66" t="inlineStr">
        <is>
          <t>Föryngringsavverkning</t>
        </is>
      </c>
      <c r="D66" s="1" t="n">
        <v>45911</v>
      </c>
      <c r="E66" s="1" t="n">
        <v>46282</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3037-2026</t>
        </is>
      </c>
      <c r="B67" t="inlineStr">
        <is>
          <t>avverkningsanmälan</t>
        </is>
      </c>
      <c r="C67" t="inlineStr">
        <is>
          <t>Föryngringsavverkning</t>
        </is>
      </c>
      <c r="D67" s="1" t="n">
        <v>46038</v>
      </c>
      <c r="E67" s="1" t="n">
        <v>46282</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t="n">
        <v>0</v>
      </c>
      <c r="V67" s="2" t="inlineStr">
        <is>
          <t>Utter</t>
        </is>
      </c>
      <c r="W67">
        <f>HYPERLINK("https://klasma.github.io/Logging_1861/artfynd/A 3037-2026 artfynd.xlsx", "A 3037-2026")</f>
        <v/>
      </c>
      <c r="X67">
        <f>HYPERLINK("https://klasma.github.io/Logging_1861/kartor/A 3037-2026 karta.png", "A 3037-2026")</f>
        <v/>
      </c>
      <c r="Y67">
        <f>HYPERLINK("https://klasma.github.io/Logging_1861/kartor_geotiff/A 3037-2026 georefererad karta.tif", "A 3037-2026")</f>
        <v/>
      </c>
      <c r="AA67">
        <f>HYPERLINK("https://klasma.github.io/Logging_1861/klagomål/A 3037-2026 FSC-klagomål.docx", "A 3037-2026")</f>
        <v/>
      </c>
      <c r="AB67">
        <f>HYPERLINK("https://klasma.github.io/Logging_1861/klagomålsmail/A 3037-2026 FSC-klagomål mail.docx", "A 3037-2026")</f>
        <v/>
      </c>
      <c r="AC67">
        <f>HYPERLINK("https://klasma.github.io/Logging_1861/tillsyn/A 3037-2026 tillsynsbegäran.docx", "A 3037-2026")</f>
        <v/>
      </c>
      <c r="AD67">
        <f>HYPERLINK("https://klasma.github.io/Logging_1861/tillsynsmail/A 3037-2026 tillsynsbegäran mail.docx", "A 3037-2026")</f>
        <v/>
      </c>
    </row>
    <row r="68" ht="15" customHeight="1">
      <c r="A68" t="inlineStr">
        <is>
          <t>A 14456-2023</t>
        </is>
      </c>
      <c r="B68" t="inlineStr">
        <is>
          <t>avverkningsanmälan</t>
        </is>
      </c>
      <c r="C68" t="inlineStr">
        <is>
          <t>Föryngringsavverkning</t>
        </is>
      </c>
      <c r="D68" s="1" t="n">
        <v>45012</v>
      </c>
      <c r="E68" s="1" t="n">
        <v>46282</v>
      </c>
      <c r="F68" t="inlineStr">
        <is>
          <t>ÖREBRO LÄN</t>
        </is>
      </c>
      <c r="G68" t="inlineStr">
        <is>
          <t>HALLSBERG</t>
        </is>
      </c>
      <c r="I68" t="n">
        <v>4.4</v>
      </c>
      <c r="J68" t="n">
        <v>1</v>
      </c>
      <c r="K68" t="n">
        <v>0</v>
      </c>
      <c r="L68" t="n">
        <v>0</v>
      </c>
      <c r="M68" t="n">
        <v>0</v>
      </c>
      <c r="N68" t="n">
        <v>0</v>
      </c>
      <c r="O68" t="n">
        <v>0</v>
      </c>
      <c r="P68" t="n">
        <v>0</v>
      </c>
      <c r="Q68" t="n">
        <v>0</v>
      </c>
      <c r="R68" t="n">
        <v>0</v>
      </c>
      <c r="S68" t="n">
        <v>1</v>
      </c>
      <c r="T68" t="n">
        <v>1</v>
      </c>
      <c r="U68" t="n">
        <v>1</v>
      </c>
      <c r="V68" s="2" t="inlineStr">
        <is>
          <t>Gullviva</t>
        </is>
      </c>
      <c r="W68">
        <f>HYPERLINK("https://klasma.github.io/Logging_1861/artfynd/A 14456-2023 artfynd.xlsx", "A 14456-2023")</f>
        <v/>
      </c>
      <c r="X68">
        <f>HYPERLINK("https://klasma.github.io/Logging_1861/kartor/A 14456-2023 karta.png", "A 14456-2023")</f>
        <v/>
      </c>
      <c r="Y68">
        <f>HYPERLINK("https://klasma.github.io/Logging_1861/kartor_geotiff/A 14456-2023 georefererad karta.tif", "A 14456-2023")</f>
        <v/>
      </c>
      <c r="AA68">
        <f>HYPERLINK("https://klasma.github.io/Logging_1861/klagomål/A 14456-2023 FSC-klagomål.docx", "A 14456-2023")</f>
        <v/>
      </c>
      <c r="AB68">
        <f>HYPERLINK("https://klasma.github.io/Logging_1861/klagomålsmail/A 14456-2023 FSC-klagomål mail.docx", "A 14456-2023")</f>
        <v/>
      </c>
      <c r="AC68">
        <f>HYPERLINK("https://klasma.github.io/Logging_1861/tillsyn/A 14456-2023 tillsynsbegäran.docx", "A 14456-2023")</f>
        <v/>
      </c>
      <c r="AD68">
        <f>HYPERLINK("https://klasma.github.io/Logging_1861/tillsynsmail/A 14456-2023 tillsynsbegäran mail.docx", "A 14456-2023")</f>
        <v/>
      </c>
    </row>
    <row r="69" ht="15" customHeight="1">
      <c r="A69" t="inlineStr">
        <is>
          <t>A 7989-2026</t>
        </is>
      </c>
      <c r="B69" t="inlineStr">
        <is>
          <t>avverkningsanmälan</t>
        </is>
      </c>
      <c r="C69" t="inlineStr">
        <is>
          <t>Föryngringsavverkning</t>
        </is>
      </c>
      <c r="D69" s="1" t="n">
        <v>46063</v>
      </c>
      <c r="E69" s="1" t="n">
        <v>46282</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t="n">
        <v>1</v>
      </c>
      <c r="V69" s="2" t="inlineStr">
        <is>
          <t>Scharlakansskål</t>
        </is>
      </c>
      <c r="W69">
        <f>HYPERLINK("https://klasma.github.io/Logging_1861/artfynd/A 7989-2026 artfynd.xlsx", "A 7989-2026")</f>
        <v/>
      </c>
      <c r="X69">
        <f>HYPERLINK("https://klasma.github.io/Logging_1861/kartor/A 7989-2026 karta.png", "A 7989-2026")</f>
        <v/>
      </c>
      <c r="Y69">
        <f>HYPERLINK("https://klasma.github.io/Logging_1861/kartor_geotiff/A 7989-2026 georefererad karta.tif", "A 7989-2026")</f>
        <v/>
      </c>
      <c r="AA69">
        <f>HYPERLINK("https://klasma.github.io/Logging_1861/klagomål/A 7989-2026 FSC-klagomål.docx", "A 7989-2026")</f>
        <v/>
      </c>
      <c r="AB69">
        <f>HYPERLINK("https://klasma.github.io/Logging_1861/klagomålsmail/A 7989-2026 FSC-klagomål mail.docx", "A 7989-2026")</f>
        <v/>
      </c>
      <c r="AC69">
        <f>HYPERLINK("https://klasma.github.io/Logging_1861/tillsyn/A 7989-2026 tillsynsbegäran.docx", "A 7989-2026")</f>
        <v/>
      </c>
      <c r="AD69">
        <f>HYPERLINK("https://klasma.github.io/Logging_1861/tillsynsmail/A 7989-2026 tillsynsbegäran mail.docx", "A 7989-2026")</f>
        <v/>
      </c>
    </row>
    <row r="70" ht="15" customHeight="1">
      <c r="A70" t="inlineStr">
        <is>
          <t>A 1195-2023</t>
        </is>
      </c>
      <c r="B70" t="inlineStr">
        <is>
          <t>avverkningsanmälan</t>
        </is>
      </c>
      <c r="C70" t="inlineStr">
        <is>
          <t>Föryngringsavverkning</t>
        </is>
      </c>
      <c r="D70" s="1" t="n">
        <v>44935</v>
      </c>
      <c r="E70" s="1" t="n">
        <v>46282</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31994-2022</t>
        </is>
      </c>
      <c r="B71" t="inlineStr">
        <is>
          <t>avverkningsanmälan</t>
        </is>
      </c>
      <c r="C71" t="inlineStr">
        <is>
          <t>Föryngringsavverkning</t>
        </is>
      </c>
      <c r="D71" s="1" t="n">
        <v>44778</v>
      </c>
      <c r="E71" s="1" t="n">
        <v>46282</v>
      </c>
      <c r="F71" t="inlineStr">
        <is>
          <t>ÖREBRO LÄN</t>
        </is>
      </c>
      <c r="G71" t="inlineStr">
        <is>
          <t>HALLSBERG</t>
        </is>
      </c>
      <c r="I71" t="n">
        <v>1.3</v>
      </c>
      <c r="J71" t="n">
        <v>1</v>
      </c>
      <c r="K71" t="n">
        <v>0</v>
      </c>
      <c r="L71" t="n">
        <v>0</v>
      </c>
      <c r="M71" t="n">
        <v>0</v>
      </c>
      <c r="N71" t="n">
        <v>0</v>
      </c>
      <c r="O71" t="n">
        <v>0</v>
      </c>
      <c r="P71" t="n">
        <v>0</v>
      </c>
      <c r="Q71" t="n">
        <v>0</v>
      </c>
      <c r="R71" t="n">
        <v>0</v>
      </c>
      <c r="S71" t="n">
        <v>1</v>
      </c>
      <c r="T71" t="n">
        <v>2</v>
      </c>
      <c r="U71" t="n">
        <v>2</v>
      </c>
      <c r="V71" s="2" t="inlineStr">
        <is>
          <t>Grönvit nattviol</t>
        </is>
      </c>
      <c r="W71">
        <f>HYPERLINK("https://klasma.github.io/Logging_1861/artfynd/A 31994-2022 artfynd.xlsx", "A 31994-2022")</f>
        <v/>
      </c>
      <c r="X71">
        <f>HYPERLINK("https://klasma.github.io/Logging_1861/kartor/A 31994-2022 karta.png", "A 31994-2022")</f>
        <v/>
      </c>
      <c r="Y71">
        <f>HYPERLINK("https://klasma.github.io/Logging_1861/kartor_geotiff/A 31994-2022 georefererad karta.tif", "A 31994-2022")</f>
        <v/>
      </c>
      <c r="AA71">
        <f>HYPERLINK("https://klasma.github.io/Logging_1861/klagomål/A 31994-2022 FSC-klagomål.docx", "A 31994-2022")</f>
        <v/>
      </c>
      <c r="AB71">
        <f>HYPERLINK("https://klasma.github.io/Logging_1861/klagomålsmail/A 31994-2022 FSC-klagomål mail.docx", "A 31994-2022")</f>
        <v/>
      </c>
      <c r="AC71">
        <f>HYPERLINK("https://klasma.github.io/Logging_1861/tillsyn/A 31994-2022 tillsynsbegäran.docx", "A 31994-2022")</f>
        <v/>
      </c>
      <c r="AD71">
        <f>HYPERLINK("https://klasma.github.io/Logging_1861/tillsynsmail/A 31994-2022 tillsynsbegäran mail.docx", "A 31994-2022")</f>
        <v/>
      </c>
    </row>
    <row r="72" ht="15" customHeight="1">
      <c r="A72" t="inlineStr">
        <is>
          <t>A 6876-2023</t>
        </is>
      </c>
      <c r="B72" t="inlineStr">
        <is>
          <t>avverkningsanmälan</t>
        </is>
      </c>
      <c r="C72" t="inlineStr">
        <is>
          <t>Föryngringsavverkning</t>
        </is>
      </c>
      <c r="D72" s="1" t="n">
        <v>44967</v>
      </c>
      <c r="E72" s="1" t="n">
        <v>46282</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2694-2024</t>
        </is>
      </c>
      <c r="B73" t="inlineStr">
        <is>
          <t>avverkningsanmälan</t>
        </is>
      </c>
      <c r="C73" t="inlineStr">
        <is>
          <t>Föryngringsavverkning</t>
        </is>
      </c>
      <c r="D73" s="1" t="n">
        <v>45314</v>
      </c>
      <c r="E73" s="1" t="n">
        <v>46282</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51916-2025</t>
        </is>
      </c>
      <c r="B74" t="inlineStr">
        <is>
          <t>avverkningsanmälan</t>
        </is>
      </c>
      <c r="C74" t="inlineStr">
        <is>
          <t>Föryngringsavverkning</t>
        </is>
      </c>
      <c r="D74" s="1" t="n">
        <v>45952</v>
      </c>
      <c r="E74" s="1" t="n">
        <v>46282</v>
      </c>
      <c r="F74" t="inlineStr">
        <is>
          <t>ÖREBRO LÄN</t>
        </is>
      </c>
      <c r="G74" t="inlineStr">
        <is>
          <t>HALLSBERG</t>
        </is>
      </c>
      <c r="H74" t="inlineStr">
        <is>
          <t>Sveaskog</t>
        </is>
      </c>
      <c r="I74" t="n">
        <v>6</v>
      </c>
      <c r="J74" t="n">
        <v>0</v>
      </c>
      <c r="K74" t="n">
        <v>0</v>
      </c>
      <c r="L74" t="n">
        <v>0</v>
      </c>
      <c r="M74" t="n">
        <v>1</v>
      </c>
      <c r="N74" t="n">
        <v>0</v>
      </c>
      <c r="O74" t="n">
        <v>0</v>
      </c>
      <c r="P74" t="n">
        <v>0</v>
      </c>
      <c r="Q74" t="n">
        <v>1</v>
      </c>
      <c r="R74" t="n">
        <v>1</v>
      </c>
      <c r="S74" t="n">
        <v>1</v>
      </c>
      <c r="T74" t="n">
        <v>1</v>
      </c>
      <c r="U74" t="n">
        <v>0</v>
      </c>
      <c r="V74" s="2" t="inlineStr">
        <is>
          <t>Hållav</t>
        </is>
      </c>
      <c r="W74">
        <f>HYPERLINK("https://klasma.github.io/Logging_1861/artfynd/A 51916-2025 artfynd.xlsx", "A 51916-2025")</f>
        <v/>
      </c>
      <c r="X74">
        <f>HYPERLINK("https://klasma.github.io/Logging_1861/kartor/A 51916-2025 karta.png", "A 51916-2025")</f>
        <v/>
      </c>
      <c r="Y74">
        <f>HYPERLINK("https://klasma.github.io/Logging_1861/kartor_geotiff/A 51916-2025 georefererad karta.tif", "A 51916-2025")</f>
        <v/>
      </c>
      <c r="AA74">
        <f>HYPERLINK("https://klasma.github.io/Logging_1861/klagomål/A 51916-2025 FSC-klagomål.docx", "A 51916-2025")</f>
        <v/>
      </c>
      <c r="AB74">
        <f>HYPERLINK("https://klasma.github.io/Logging_1861/klagomålsmail/A 51916-2025 FSC-klagomål mail.docx", "A 51916-2025")</f>
        <v/>
      </c>
      <c r="AC74">
        <f>HYPERLINK("https://klasma.github.io/Logging_1861/tillsyn/A 51916-2025 tillsynsbegäran.docx", "A 51916-2025")</f>
        <v/>
      </c>
      <c r="AD74">
        <f>HYPERLINK("https://klasma.github.io/Logging_1861/tillsynsmail/A 51916-2025 tillsynsbegäran mail.docx", "A 51916-2025")</f>
        <v/>
      </c>
    </row>
    <row r="75" ht="15" customHeight="1">
      <c r="A75" t="inlineStr">
        <is>
          <t>A 55115-2022</t>
        </is>
      </c>
      <c r="B75" t="inlineStr">
        <is>
          <t>avverkningsanmälan</t>
        </is>
      </c>
      <c r="C75" t="inlineStr">
        <is>
          <t>Föryngringsavverkning</t>
        </is>
      </c>
      <c r="D75" s="1" t="n">
        <v>44886</v>
      </c>
      <c r="E75" s="1" t="n">
        <v>46282</v>
      </c>
      <c r="F75" t="inlineStr">
        <is>
          <t>ÖREBRO LÄN</t>
        </is>
      </c>
      <c r="G75" t="inlineStr">
        <is>
          <t>HALLSBERG</t>
        </is>
      </c>
      <c r="H75" t="inlineStr">
        <is>
          <t>Sveaskog</t>
        </is>
      </c>
      <c r="I75" t="n">
        <v>2.4</v>
      </c>
      <c r="J75" t="n">
        <v>0</v>
      </c>
      <c r="K75" t="n">
        <v>1</v>
      </c>
      <c r="L75" t="n">
        <v>0</v>
      </c>
      <c r="M75" t="n">
        <v>0</v>
      </c>
      <c r="N75" t="n">
        <v>0</v>
      </c>
      <c r="O75" t="n">
        <v>0</v>
      </c>
      <c r="P75" t="n">
        <v>0</v>
      </c>
      <c r="Q75" t="n">
        <v>0</v>
      </c>
      <c r="R75" t="n">
        <v>0</v>
      </c>
      <c r="S75" t="n">
        <v>1</v>
      </c>
      <c r="T75" t="n">
        <v>1</v>
      </c>
      <c r="U75" t="n">
        <v>1</v>
      </c>
      <c r="V75" s="2" t="inlineStr">
        <is>
          <t>Blåmossa</t>
        </is>
      </c>
      <c r="W75">
        <f>HYPERLINK("https://klasma.github.io/Logging_1861/artfynd/A 55115-2022 artfynd.xlsx", "A 55115-2022")</f>
        <v/>
      </c>
      <c r="X75">
        <f>HYPERLINK("https://klasma.github.io/Logging_1861/kartor/A 55115-2022 karta.png", "A 55115-2022")</f>
        <v/>
      </c>
      <c r="Y75">
        <f>HYPERLINK("https://klasma.github.io/Logging_1861/kartor_geotiff/A 55115-2022 georefererad karta.tif", "A 55115-2022")</f>
        <v/>
      </c>
      <c r="AA75">
        <f>HYPERLINK("https://klasma.github.io/Logging_1861/klagomål/A 55115-2022 FSC-klagomål.docx", "A 55115-2022")</f>
        <v/>
      </c>
      <c r="AB75">
        <f>HYPERLINK("https://klasma.github.io/Logging_1861/klagomålsmail/A 55115-2022 FSC-klagomål mail.docx", "A 55115-2022")</f>
        <v/>
      </c>
      <c r="AC75">
        <f>HYPERLINK("https://klasma.github.io/Logging_1861/tillsyn/A 55115-2022 tillsynsbegäran.docx", "A 55115-2022")</f>
        <v/>
      </c>
      <c r="AD75">
        <f>HYPERLINK("https://klasma.github.io/Logging_1861/tillsynsmail/A 55115-2022 tillsynsbegäran mail.docx", "A 55115-2022")</f>
        <v/>
      </c>
    </row>
    <row r="76" ht="15" customHeight="1">
      <c r="A76" t="inlineStr">
        <is>
          <t>A 19853-2022</t>
        </is>
      </c>
      <c r="B76" t="inlineStr">
        <is>
          <t>avverkningsanmälan</t>
        </is>
      </c>
      <c r="C76" t="inlineStr">
        <is>
          <t>Föryngringsavverkning</t>
        </is>
      </c>
      <c r="D76" s="1" t="n">
        <v>44696</v>
      </c>
      <c r="E76" s="1" t="n">
        <v>46282</v>
      </c>
      <c r="F76" t="inlineStr">
        <is>
          <t>ÖREBRO LÄN</t>
        </is>
      </c>
      <c r="G76" t="inlineStr">
        <is>
          <t>HALLSBERG</t>
        </is>
      </c>
      <c r="H76" t="inlineStr">
        <is>
          <t>Sveaskog</t>
        </is>
      </c>
      <c r="I76" t="n">
        <v>1.6</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HYPERLINK("https://klasma.github.io/Logging_1861/artfynd/A 19853-2022 artfynd.xlsx", "A 19853-2022")</f>
        <v/>
      </c>
      <c r="X76">
        <f>HYPERLINK("https://klasma.github.io/Logging_1861/kartor/A 19853-2022 karta.png", "A 19853-2022")</f>
        <v/>
      </c>
      <c r="Y76">
        <f>HYPERLINK("https://klasma.github.io/Logging_1861/kartor_geotiff/A 19853-2022 georefererad karta.tif", "A 19853-2022")</f>
        <v/>
      </c>
      <c r="AA76">
        <f>HYPERLINK("https://klasma.github.io/Logging_1861/klagomål/A 19853-2022 FSC-klagomål.docx", "A 19853-2022")</f>
        <v/>
      </c>
      <c r="AB76">
        <f>HYPERLINK("https://klasma.github.io/Logging_1861/klagomålsmail/A 19853-2022 FSC-klagomål mail.docx", "A 19853-2022")</f>
        <v/>
      </c>
      <c r="AC76">
        <f>HYPERLINK("https://klasma.github.io/Logging_1861/tillsyn/A 19853-2022 tillsynsbegäran.docx", "A 19853-2022")</f>
        <v/>
      </c>
      <c r="AD76">
        <f>HYPERLINK("https://klasma.github.io/Logging_1861/tillsynsmail/A 19853-2022 tillsynsbegäran mail.docx", "A 19853-2022")</f>
        <v/>
      </c>
    </row>
    <row r="77" ht="15" customHeight="1">
      <c r="A77" t="inlineStr">
        <is>
          <t>A 51922-2025</t>
        </is>
      </c>
      <c r="B77" t="inlineStr">
        <is>
          <t>avverkningsanmälan</t>
        </is>
      </c>
      <c r="C77" t="inlineStr">
        <is>
          <t>Föryngringsavverkning</t>
        </is>
      </c>
      <c r="D77" s="1" t="n">
        <v>45952</v>
      </c>
      <c r="E77" s="1" t="n">
        <v>46282</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29713-2026</t>
        </is>
      </c>
      <c r="B78" t="inlineStr">
        <is>
          <t>avverkningsanmälan</t>
        </is>
      </c>
      <c r="C78" t="inlineStr">
        <is>
          <t>Föryngringsavverkning</t>
        </is>
      </c>
      <c r="D78" s="1" t="n">
        <v>46204</v>
      </c>
      <c r="E78" s="1" t="n">
        <v>46282</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46282</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32547-2024</t>
        </is>
      </c>
      <c r="B80" t="inlineStr">
        <is>
          <t>avverkningsanmälan</t>
        </is>
      </c>
      <c r="C80" t="inlineStr">
        <is>
          <t>Föryngringsavverkning</t>
        </is>
      </c>
      <c r="D80" s="1" t="n">
        <v>45513</v>
      </c>
      <c r="E80" s="1" t="n">
        <v>46282</v>
      </c>
      <c r="F80" t="inlineStr">
        <is>
          <t>ÖREBRO LÄN</t>
        </is>
      </c>
      <c r="G80" t="inlineStr">
        <is>
          <t>HALLSBERG</t>
        </is>
      </c>
      <c r="I80" t="n">
        <v>3</v>
      </c>
      <c r="J80" t="n">
        <v>0</v>
      </c>
      <c r="K80" t="n">
        <v>1</v>
      </c>
      <c r="L80" t="n">
        <v>0</v>
      </c>
      <c r="M80" t="n">
        <v>0</v>
      </c>
      <c r="N80" t="n">
        <v>0</v>
      </c>
      <c r="O80" t="n">
        <v>0</v>
      </c>
      <c r="P80" t="n">
        <v>0</v>
      </c>
      <c r="Q80" t="n">
        <v>0</v>
      </c>
      <c r="R80" t="n">
        <v>0</v>
      </c>
      <c r="S80" t="n">
        <v>1</v>
      </c>
      <c r="T80" t="n">
        <v>1</v>
      </c>
      <c r="U80" t="n">
        <v>1</v>
      </c>
      <c r="V80" s="2" t="inlineStr">
        <is>
          <t>Strutbräken</t>
        </is>
      </c>
      <c r="W80">
        <f>HYPERLINK("https://klasma.github.io/Logging_1861/artfynd/A 32547-2024 artfynd.xlsx", "A 32547-2024")</f>
        <v/>
      </c>
      <c r="X80">
        <f>HYPERLINK("https://klasma.github.io/Logging_1861/kartor/A 32547-2024 karta.png", "A 32547-2024")</f>
        <v/>
      </c>
      <c r="Y80">
        <f>HYPERLINK("https://klasma.github.io/Logging_1861/kartor_geotiff/A 32547-2024 georefererad karta.tif", "A 32547-2024")</f>
        <v/>
      </c>
      <c r="AA80">
        <f>HYPERLINK("https://klasma.github.io/Logging_1861/klagomål/A 32547-2024 FSC-klagomål.docx", "A 32547-2024")</f>
        <v/>
      </c>
      <c r="AB80">
        <f>HYPERLINK("https://klasma.github.io/Logging_1861/klagomålsmail/A 32547-2024 FSC-klagomål mail.docx", "A 32547-2024")</f>
        <v/>
      </c>
      <c r="AC80">
        <f>HYPERLINK("https://klasma.github.io/Logging_1861/tillsyn/A 32547-2024 tillsynsbegäran.docx", "A 32547-2024")</f>
        <v/>
      </c>
      <c r="AD80">
        <f>HYPERLINK("https://klasma.github.io/Logging_1861/tillsynsmail/A 32547-2024 tillsynsbegäran mail.docx", "A 32547-2024")</f>
        <v/>
      </c>
    </row>
    <row r="81" ht="15" customHeight="1">
      <c r="A81" t="inlineStr">
        <is>
          <t>A 20981-2024</t>
        </is>
      </c>
      <c r="B81" t="inlineStr">
        <is>
          <t>avverkningsanmälan</t>
        </is>
      </c>
      <c r="C81" t="inlineStr">
        <is>
          <t>Avverkning för att bevara och utveckla /försöksver</t>
        </is>
      </c>
      <c r="D81" s="1" t="n">
        <v>45439</v>
      </c>
      <c r="E81" s="1" t="n">
        <v>46282</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32198-2026</t>
        </is>
      </c>
      <c r="B82" t="inlineStr">
        <is>
          <t>avverkningsanmälan</t>
        </is>
      </c>
      <c r="C82" t="inlineStr">
        <is>
          <t>Föryngringsavverkning</t>
        </is>
      </c>
      <c r="D82" s="1" t="n">
        <v>46237</v>
      </c>
      <c r="E82" s="1" t="n">
        <v>46282</v>
      </c>
      <c r="F82" t="inlineStr">
        <is>
          <t>ÖREBRO LÄN</t>
        </is>
      </c>
      <c r="G82" t="inlineStr">
        <is>
          <t>HALLSBERG</t>
        </is>
      </c>
      <c r="H82" t="inlineStr">
        <is>
          <t>Sveaskog</t>
        </is>
      </c>
      <c r="I82" t="n">
        <v>11.7</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HYPERLINK("https://klasma.github.io/Logging_1861/artfynd/A 32198-2026 artfynd.xlsx", "A 32198-2026")</f>
        <v/>
      </c>
      <c r="X82">
        <f>HYPERLINK("https://klasma.github.io/Logging_1861/kartor/A 32198-2026 karta.png", "A 32198-2026")</f>
        <v/>
      </c>
      <c r="Y82">
        <f>HYPERLINK("https://klasma.github.io/Logging_1861/kartor_geotiff/A 32198-2026 georefererad karta.tif", "A 32198-2026")</f>
        <v/>
      </c>
      <c r="AA82">
        <f>HYPERLINK("https://klasma.github.io/Logging_1861/klagomål/A 32198-2026 FSC-klagomål.docx", "A 32198-2026")</f>
        <v/>
      </c>
      <c r="AB82">
        <f>HYPERLINK("https://klasma.github.io/Logging_1861/klagomålsmail/A 32198-2026 FSC-klagomål mail.docx", "A 32198-2026")</f>
        <v/>
      </c>
      <c r="AC82">
        <f>HYPERLINK("https://klasma.github.io/Logging_1861/tillsyn/A 32198-2026 tillsynsbegäran.docx", "A 32198-2026")</f>
        <v/>
      </c>
      <c r="AD82">
        <f>HYPERLINK("https://klasma.github.io/Logging_1861/tillsynsmail/A 32198-2026 tillsynsbegäran mail.docx", "A 32198-2026")</f>
        <v/>
      </c>
    </row>
    <row r="83" ht="15" customHeight="1">
      <c r="A83" t="inlineStr">
        <is>
          <t>S 3020-2022</t>
        </is>
      </c>
      <c r="B83" t="inlineStr">
        <is>
          <t>samrådsanmälan</t>
        </is>
      </c>
      <c r="C83" t="inlineStr">
        <is>
          <t>Annan skogsbruksåtgärd</t>
        </is>
      </c>
      <c r="D83" s="1" t="n">
        <v>44714</v>
      </c>
      <c r="E83" s="1" t="n">
        <v>46282</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46282</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46282</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46282</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46282</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46282</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46282</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46282</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46282</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46282</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46282</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30145-2022</t>
        </is>
      </c>
      <c r="B94" t="inlineStr">
        <is>
          <t>avverkningsanmälan</t>
        </is>
      </c>
      <c r="C94" t="inlineStr">
        <is>
          <t>Avverkning för att bevara och utveckla /försöksver</t>
        </is>
      </c>
      <c r="D94" s="1" t="n">
        <v>44757</v>
      </c>
      <c r="E94" s="1" t="n">
        <v>46282</v>
      </c>
      <c r="F94" t="inlineStr">
        <is>
          <t>ÖREBRO LÄN</t>
        </is>
      </c>
      <c r="G94" t="inlineStr">
        <is>
          <t>HALLSBERG</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14345-2022</t>
        </is>
      </c>
      <c r="B95" t="inlineStr">
        <is>
          <t>avverkningsanmälan</t>
        </is>
      </c>
      <c r="C95" t="inlineStr">
        <is>
          <t>Föryngringsavverkning</t>
        </is>
      </c>
      <c r="D95" s="1" t="n">
        <v>44651</v>
      </c>
      <c r="E95" s="1" t="n">
        <v>46282</v>
      </c>
      <c r="F95" t="inlineStr">
        <is>
          <t>ÖREBRO LÄN</t>
        </is>
      </c>
      <c r="G95" t="inlineStr">
        <is>
          <t>HALLSBERG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46282</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46282</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46282</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46282</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46282</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4587-2023</t>
        </is>
      </c>
      <c r="B101" t="inlineStr">
        <is>
          <t>avverkningsanmälan</t>
        </is>
      </c>
      <c r="C101" t="inlineStr">
        <is>
          <t>Föryngringsavverkning</t>
        </is>
      </c>
      <c r="D101" s="1" t="n">
        <v>44956</v>
      </c>
      <c r="E101" s="1" t="n">
        <v>46282</v>
      </c>
      <c r="F101" t="inlineStr">
        <is>
          <t>ÖREBRO LÄN</t>
        </is>
      </c>
      <c r="G101" t="inlineStr">
        <is>
          <t>HALLSBERG</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50891-2024</t>
        </is>
      </c>
      <c r="B102" t="inlineStr">
        <is>
          <t>avverkningsanmälan</t>
        </is>
      </c>
      <c r="C102" t="inlineStr">
        <is>
          <t>Föryngringsavverkning</t>
        </is>
      </c>
      <c r="D102" s="1" t="n">
        <v>45602</v>
      </c>
      <c r="E102" s="1" t="n">
        <v>46282</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64419-2023</t>
        </is>
      </c>
      <c r="B103" t="inlineStr">
        <is>
          <t>avverkningsanmälan</t>
        </is>
      </c>
      <c r="C103" t="inlineStr">
        <is>
          <t>Föryngringsavverkning</t>
        </is>
      </c>
      <c r="D103" s="1" t="n">
        <v>45280</v>
      </c>
      <c r="E103" s="1" t="n">
        <v>46282</v>
      </c>
      <c r="F103" t="inlineStr">
        <is>
          <t>ÖREBRO LÄN</t>
        </is>
      </c>
      <c r="G103" t="inlineStr">
        <is>
          <t>HALLSBERG</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14333-2022</t>
        </is>
      </c>
      <c r="B104" t="inlineStr">
        <is>
          <t>avverkningsanmälan</t>
        </is>
      </c>
      <c r="C104" t="inlineStr">
        <is>
          <t>Föryngringsavverkning</t>
        </is>
      </c>
      <c r="D104" s="1" t="n">
        <v>44651</v>
      </c>
      <c r="E104" s="1" t="n">
        <v>46282</v>
      </c>
      <c r="F104" t="inlineStr">
        <is>
          <t>ÖREBRO LÄN</t>
        </is>
      </c>
      <c r="G104" t="inlineStr">
        <is>
          <t>HALLSBERG</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69230-2021</t>
        </is>
      </c>
      <c r="B105" t="inlineStr">
        <is>
          <t>avverkningsanmälan</t>
        </is>
      </c>
      <c r="C105" t="inlineStr">
        <is>
          <t>Avverkning för annat ändamål</t>
        </is>
      </c>
      <c r="D105" s="1" t="n">
        <v>44531</v>
      </c>
      <c r="E105" s="1" t="n">
        <v>46282</v>
      </c>
      <c r="F105" t="inlineStr">
        <is>
          <t>ÖREBRO LÄN</t>
        </is>
      </c>
      <c r="G105" t="inlineStr">
        <is>
          <t>HALLSBERG</t>
        </is>
      </c>
      <c r="H105" t="inlineStr">
        <is>
          <t>Kommuner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29907-2024</t>
        </is>
      </c>
      <c r="B106" t="inlineStr">
        <is>
          <t>avverkningsanmälan</t>
        </is>
      </c>
      <c r="C106" t="inlineStr">
        <is>
          <t>Föryngringsavverkning</t>
        </is>
      </c>
      <c r="D106" s="1" t="n">
        <v>45487</v>
      </c>
      <c r="E106" s="1" t="n">
        <v>46282</v>
      </c>
      <c r="F106" t="inlineStr">
        <is>
          <t>ÖREBRO LÄN</t>
        </is>
      </c>
      <c r="G106" t="inlineStr">
        <is>
          <t>HALLSBERG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24760-2024</t>
        </is>
      </c>
      <c r="B107" t="inlineStr">
        <is>
          <t>avverkningsanmälan</t>
        </is>
      </c>
      <c r="C107" t="inlineStr">
        <is>
          <t>Föryngringsavverkning</t>
        </is>
      </c>
      <c r="D107" s="1" t="n">
        <v>45460</v>
      </c>
      <c r="E107" s="1" t="n">
        <v>46282</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13168-2023</t>
        </is>
      </c>
      <c r="B108" t="inlineStr">
        <is>
          <t>avverkningsanmälan</t>
        </is>
      </c>
      <c r="C108" t="inlineStr">
        <is>
          <t>Föryngringsavverkning</t>
        </is>
      </c>
      <c r="D108" s="1" t="n">
        <v>45002</v>
      </c>
      <c r="E108" s="1" t="n">
        <v>46282</v>
      </c>
      <c r="F108" t="inlineStr">
        <is>
          <t>ÖREBRO LÄN</t>
        </is>
      </c>
      <c r="G108" t="inlineStr">
        <is>
          <t>HALLSBERG</t>
        </is>
      </c>
      <c r="H108" t="inlineStr">
        <is>
          <t>Allmännings- och besparingsskogar</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34227-2022</t>
        </is>
      </c>
      <c r="B109" t="inlineStr">
        <is>
          <t>avverkningsanmälan</t>
        </is>
      </c>
      <c r="C109" t="inlineStr">
        <is>
          <t>Föryngringsavverkning</t>
        </is>
      </c>
      <c r="D109" s="1" t="n">
        <v>44791</v>
      </c>
      <c r="E109" s="1" t="n">
        <v>46282</v>
      </c>
      <c r="F109" t="inlineStr">
        <is>
          <t>ÖREBRO LÄN</t>
        </is>
      </c>
      <c r="G109" t="inlineStr">
        <is>
          <t>HALLSBERG</t>
        </is>
      </c>
      <c r="H109" t="inlineStr">
        <is>
          <t>Övriga Aktiebolag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19709-2024</t>
        </is>
      </c>
      <c r="B110" t="inlineStr">
        <is>
          <t>avverkningsanmälan</t>
        </is>
      </c>
      <c r="C110" t="inlineStr">
        <is>
          <t>Föryngringsavverkning</t>
        </is>
      </c>
      <c r="D110" s="1" t="n">
        <v>45432</v>
      </c>
      <c r="E110" s="1" t="n">
        <v>46282</v>
      </c>
      <c r="F110" t="inlineStr">
        <is>
          <t>ÖREBRO LÄN</t>
        </is>
      </c>
      <c r="G110" t="inlineStr">
        <is>
          <t>HALLSBERG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37277-2024</t>
        </is>
      </c>
      <c r="B111" t="inlineStr">
        <is>
          <t>avverkningsanmälan</t>
        </is>
      </c>
      <c r="C111" t="inlineStr">
        <is>
          <t>Föryngringsavverkning</t>
        </is>
      </c>
      <c r="D111" s="1" t="n">
        <v>45540</v>
      </c>
      <c r="E111" s="1" t="n">
        <v>46282</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46602-2024</t>
        </is>
      </c>
      <c r="B112" t="inlineStr">
        <is>
          <t>avverkningsanmälan</t>
        </is>
      </c>
      <c r="C112" t="inlineStr">
        <is>
          <t>Föryngringsavverkning</t>
        </is>
      </c>
      <c r="D112" s="1" t="n">
        <v>45582</v>
      </c>
      <c r="E112" s="1" t="n">
        <v>46282</v>
      </c>
      <c r="F112" t="inlineStr">
        <is>
          <t>ÖREBRO LÄN</t>
        </is>
      </c>
      <c r="G112" t="inlineStr">
        <is>
          <t>HALLSBERG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59176-2021</t>
        </is>
      </c>
      <c r="B113" t="inlineStr">
        <is>
          <t>avverkningsanmälan</t>
        </is>
      </c>
      <c r="C113" t="inlineStr">
        <is>
          <t>Föryngringsavverkning</t>
        </is>
      </c>
      <c r="D113" s="1" t="n">
        <v>44490</v>
      </c>
      <c r="E113" s="1" t="n">
        <v>46282</v>
      </c>
      <c r="F113" t="inlineStr">
        <is>
          <t>ÖREBRO LÄN</t>
        </is>
      </c>
      <c r="G113" t="inlineStr">
        <is>
          <t>HALLSBERG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50893-2024</t>
        </is>
      </c>
      <c r="B114" t="inlineStr">
        <is>
          <t>avverkningsanmälan</t>
        </is>
      </c>
      <c r="C114" t="inlineStr">
        <is>
          <t>Föryngringsavverkning</t>
        </is>
      </c>
      <c r="D114" s="1" t="n">
        <v>45602</v>
      </c>
      <c r="E114" s="1" t="n">
        <v>46282</v>
      </c>
      <c r="F114" t="inlineStr">
        <is>
          <t>ÖREBRO LÄN</t>
        </is>
      </c>
      <c r="G114" t="inlineStr">
        <is>
          <t>HALLSBERG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46282</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46282</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46282</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16441-2025</t>
        </is>
      </c>
      <c r="B118" t="inlineStr">
        <is>
          <t>avverkningsanmälan</t>
        </is>
      </c>
      <c r="C118" t="inlineStr">
        <is>
          <t>Föryngringsavverkning</t>
        </is>
      </c>
      <c r="D118" s="1" t="n">
        <v>45751</v>
      </c>
      <c r="E118" s="1" t="n">
        <v>46282</v>
      </c>
      <c r="F118" t="inlineStr">
        <is>
          <t>ÖREBRO LÄN</t>
        </is>
      </c>
      <c r="G118" t="inlineStr">
        <is>
          <t>HALLSBERG</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53329-2023</t>
        </is>
      </c>
      <c r="B119" t="inlineStr">
        <is>
          <t>avverkningsanmälan</t>
        </is>
      </c>
      <c r="C119" t="inlineStr">
        <is>
          <t>Föryngringsavverkning</t>
        </is>
      </c>
      <c r="D119" s="1" t="n">
        <v>45229</v>
      </c>
      <c r="E119" s="1" t="n">
        <v>46282</v>
      </c>
      <c r="F119" t="inlineStr">
        <is>
          <t>ÖREBRO LÄN</t>
        </is>
      </c>
      <c r="G119" t="inlineStr">
        <is>
          <t>HALLSBERG</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41886-2023</t>
        </is>
      </c>
      <c r="B120" t="inlineStr">
        <is>
          <t>avverkningsanmälan</t>
        </is>
      </c>
      <c r="C120" t="inlineStr">
        <is>
          <t>Föryngringsavverkning</t>
        </is>
      </c>
      <c r="D120" s="1" t="n">
        <v>45176</v>
      </c>
      <c r="E120" s="1" t="n">
        <v>46282</v>
      </c>
      <c r="F120" t="inlineStr">
        <is>
          <t>ÖREBRO LÄN</t>
        </is>
      </c>
      <c r="G120" t="inlineStr">
        <is>
          <t>HALLSBERG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26842-2025</t>
        </is>
      </c>
      <c r="B121" t="inlineStr">
        <is>
          <t>avverkningsanmälan</t>
        </is>
      </c>
      <c r="C121" t="inlineStr">
        <is>
          <t>Föryngringsavverkning</t>
        </is>
      </c>
      <c r="D121" s="1" t="n">
        <v>45810</v>
      </c>
      <c r="E121" s="1" t="n">
        <v>46282</v>
      </c>
      <c r="F121" t="inlineStr">
        <is>
          <t>ÖREBRO LÄN</t>
        </is>
      </c>
      <c r="G121" t="inlineStr">
        <is>
          <t>HALLSBERG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27146-2025</t>
        </is>
      </c>
      <c r="B122" t="inlineStr">
        <is>
          <t>avverkningsanmälan</t>
        </is>
      </c>
      <c r="C122" t="inlineStr">
        <is>
          <t>Föryngringsavverkning</t>
        </is>
      </c>
      <c r="D122" s="1" t="n">
        <v>45812</v>
      </c>
      <c r="E122" s="1" t="n">
        <v>46282</v>
      </c>
      <c r="F122" t="inlineStr">
        <is>
          <t>ÖREBRO LÄN</t>
        </is>
      </c>
      <c r="G122" t="inlineStr">
        <is>
          <t>HALLSBERG</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27147-2025</t>
        </is>
      </c>
      <c r="B123" t="inlineStr">
        <is>
          <t>avverkningsanmälan</t>
        </is>
      </c>
      <c r="C123" t="inlineStr">
        <is>
          <t>Föryngringsavverkning</t>
        </is>
      </c>
      <c r="D123" s="1" t="n">
        <v>45812</v>
      </c>
      <c r="E123" s="1" t="n">
        <v>46282</v>
      </c>
      <c r="F123" t="inlineStr">
        <is>
          <t>ÖREBRO LÄN</t>
        </is>
      </c>
      <c r="G123" t="inlineStr">
        <is>
          <t>HALLSBERG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27148-2025</t>
        </is>
      </c>
      <c r="B124" t="inlineStr">
        <is>
          <t>avverkningsanmälan</t>
        </is>
      </c>
      <c r="C124" t="inlineStr">
        <is>
          <t>Föryngringsavverkning</t>
        </is>
      </c>
      <c r="D124" s="1" t="n">
        <v>45812</v>
      </c>
      <c r="E124" s="1" t="n">
        <v>46282</v>
      </c>
      <c r="F124" t="inlineStr">
        <is>
          <t>ÖREBRO LÄN</t>
        </is>
      </c>
      <c r="G124" t="inlineStr">
        <is>
          <t>HALLSBERG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37698-2023</t>
        </is>
      </c>
      <c r="B125" t="inlineStr">
        <is>
          <t>avverkningsanmälan</t>
        </is>
      </c>
      <c r="C125" t="inlineStr">
        <is>
          <t>Föryngringsavverkning</t>
        </is>
      </c>
      <c r="D125" s="1" t="n">
        <v>45159</v>
      </c>
      <c r="E125" s="1" t="n">
        <v>46282</v>
      </c>
      <c r="F125" t="inlineStr">
        <is>
          <t>ÖREBRO LÄN</t>
        </is>
      </c>
      <c r="G125" t="inlineStr">
        <is>
          <t>HALLSBERG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6766-2025</t>
        </is>
      </c>
      <c r="B126" t="inlineStr">
        <is>
          <t>avverkningsanmälan</t>
        </is>
      </c>
      <c r="C126" t="inlineStr">
        <is>
          <t>Föryngringsavverkning</t>
        </is>
      </c>
      <c r="D126" s="1" t="n">
        <v>45700</v>
      </c>
      <c r="E126" s="1" t="n">
        <v>46282</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40067-2025</t>
        </is>
      </c>
      <c r="B127" t="inlineStr">
        <is>
          <t>avverkningsanmälan</t>
        </is>
      </c>
      <c r="C127" t="inlineStr">
        <is>
          <t>Föryngringsavverkning</t>
        </is>
      </c>
      <c r="D127" s="1" t="n">
        <v>45894</v>
      </c>
      <c r="E127" s="1" t="n">
        <v>46282</v>
      </c>
      <c r="F127" t="inlineStr">
        <is>
          <t>ÖREBRO LÄN</t>
        </is>
      </c>
      <c r="G127" t="inlineStr">
        <is>
          <t>HALLSBERG</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46235-2023</t>
        </is>
      </c>
      <c r="B128" t="inlineStr">
        <is>
          <t>avverkningsanmälan</t>
        </is>
      </c>
      <c r="C128" t="inlineStr">
        <is>
          <t>Föryngringsavverkning</t>
        </is>
      </c>
      <c r="D128" s="1" t="n">
        <v>45196</v>
      </c>
      <c r="E128" s="1" t="n">
        <v>46282</v>
      </c>
      <c r="F128" t="inlineStr">
        <is>
          <t>ÖREBRO LÄN</t>
        </is>
      </c>
      <c r="G128" t="inlineStr">
        <is>
          <t>HALLSBERG</t>
        </is>
      </c>
      <c r="H128" t="inlineStr">
        <is>
          <t>Allmännings- och besparingsskogar</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17003-2022</t>
        </is>
      </c>
      <c r="B129" t="inlineStr">
        <is>
          <t>avverkningsanmälan</t>
        </is>
      </c>
      <c r="C129" t="inlineStr">
        <is>
          <t>Föryngringsavverkning</t>
        </is>
      </c>
      <c r="D129" s="1" t="n">
        <v>44676</v>
      </c>
      <c r="E129" s="1" t="n">
        <v>46282</v>
      </c>
      <c r="F129" t="inlineStr">
        <is>
          <t>ÖREBRO LÄN</t>
        </is>
      </c>
      <c r="G129" t="inlineStr">
        <is>
          <t>HALLSBERG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7492-2024</t>
        </is>
      </c>
      <c r="B130" t="inlineStr">
        <is>
          <t>avverkningsanmälan</t>
        </is>
      </c>
      <c r="C130" t="inlineStr">
        <is>
          <t>Föryngringsavverkning</t>
        </is>
      </c>
      <c r="D130" s="1" t="n">
        <v>45346</v>
      </c>
      <c r="E130" s="1" t="n">
        <v>46282</v>
      </c>
      <c r="F130" t="inlineStr">
        <is>
          <t>ÖREBRO LÄN</t>
        </is>
      </c>
      <c r="G130" t="inlineStr">
        <is>
          <t>HALLSBERG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5604-2023</t>
        </is>
      </c>
      <c r="B131" t="inlineStr">
        <is>
          <t>avverkningsanmälan</t>
        </is>
      </c>
      <c r="C131" t="inlineStr">
        <is>
          <t>Föryngringsavverkning</t>
        </is>
      </c>
      <c r="D131" s="1" t="n">
        <v>44960</v>
      </c>
      <c r="E131" s="1" t="n">
        <v>46282</v>
      </c>
      <c r="F131" t="inlineStr">
        <is>
          <t>ÖREBRO LÄN</t>
        </is>
      </c>
      <c r="G131" t="inlineStr">
        <is>
          <t>HALLSBERG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5608-2023</t>
        </is>
      </c>
      <c r="B132" t="inlineStr">
        <is>
          <t>avverkningsanmälan</t>
        </is>
      </c>
      <c r="C132" t="inlineStr">
        <is>
          <t>Föryngringsavverkning</t>
        </is>
      </c>
      <c r="D132" s="1" t="n">
        <v>44960</v>
      </c>
      <c r="E132" s="1" t="n">
        <v>46282</v>
      </c>
      <c r="F132" t="inlineStr">
        <is>
          <t>ÖREBRO LÄN</t>
        </is>
      </c>
      <c r="G132" t="inlineStr">
        <is>
          <t>HALLSBERG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41468-2025</t>
        </is>
      </c>
      <c r="B133" t="inlineStr">
        <is>
          <t>avverkningsanmälan</t>
        </is>
      </c>
      <c r="C133" t="inlineStr">
        <is>
          <t>Föryngringsavverkning</t>
        </is>
      </c>
      <c r="D133" s="1" t="n">
        <v>45896</v>
      </c>
      <c r="E133" s="1" t="n">
        <v>46282</v>
      </c>
      <c r="F133" t="inlineStr">
        <is>
          <t>ÖREBRO LÄN</t>
        </is>
      </c>
      <c r="G133" t="inlineStr">
        <is>
          <t>HALLSBERG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41693-2025</t>
        </is>
      </c>
      <c r="B134" t="inlineStr">
        <is>
          <t>avverkningsanmälan</t>
        </is>
      </c>
      <c r="C134" t="inlineStr">
        <is>
          <t>Föryngringsavverkning</t>
        </is>
      </c>
      <c r="D134" s="1" t="n">
        <v>45902</v>
      </c>
      <c r="E134" s="1" t="n">
        <v>46282</v>
      </c>
      <c r="F134" t="inlineStr">
        <is>
          <t>ÖREBRO LÄN</t>
        </is>
      </c>
      <c r="G134" t="inlineStr">
        <is>
          <t>HALLSBERG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42604-2025</t>
        </is>
      </c>
      <c r="B135" t="inlineStr">
        <is>
          <t>avverkningsanmälan</t>
        </is>
      </c>
      <c r="C135" t="inlineStr">
        <is>
          <t>Föryngringsavverkning</t>
        </is>
      </c>
      <c r="D135" s="1" t="n">
        <v>45905</v>
      </c>
      <c r="E135" s="1" t="n">
        <v>46282</v>
      </c>
      <c r="F135" t="inlineStr">
        <is>
          <t>ÖREBRO LÄN</t>
        </is>
      </c>
      <c r="G135" t="inlineStr">
        <is>
          <t>HALLSBERG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56270-2023</t>
        </is>
      </c>
      <c r="B136" t="inlineStr">
        <is>
          <t>avverkningsanmälan</t>
        </is>
      </c>
      <c r="C136" t="inlineStr">
        <is>
          <t>Föryngringsavverkning</t>
        </is>
      </c>
      <c r="D136" s="1" t="n">
        <v>45240</v>
      </c>
      <c r="E136" s="1" t="n">
        <v>46282</v>
      </c>
      <c r="F136" t="inlineStr">
        <is>
          <t>ÖREBRO LÄN</t>
        </is>
      </c>
      <c r="G136" t="inlineStr">
        <is>
          <t>HALLSBERG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42156-2024</t>
        </is>
      </c>
      <c r="B137" t="inlineStr">
        <is>
          <t>avverkningsanmälan</t>
        </is>
      </c>
      <c r="C137" t="inlineStr">
        <is>
          <t>Föryngringsavverkning</t>
        </is>
      </c>
      <c r="D137" s="1" t="n">
        <v>45562</v>
      </c>
      <c r="E137" s="1" t="n">
        <v>46282</v>
      </c>
      <c r="F137" t="inlineStr">
        <is>
          <t>ÖREBRO LÄN</t>
        </is>
      </c>
      <c r="G137" t="inlineStr">
        <is>
          <t>HALLSBERG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43379-2025</t>
        </is>
      </c>
      <c r="B138" t="inlineStr">
        <is>
          <t>avverkningsanmälan</t>
        </is>
      </c>
      <c r="C138" t="inlineStr">
        <is>
          <t>Föryngringsavverkning</t>
        </is>
      </c>
      <c r="D138" s="1" t="n">
        <v>45911</v>
      </c>
      <c r="E138" s="1" t="n">
        <v>46282</v>
      </c>
      <c r="F138" t="inlineStr">
        <is>
          <t>ÖREBRO LÄN</t>
        </is>
      </c>
      <c r="G138" t="inlineStr">
        <is>
          <t>HALLSBERG</t>
        </is>
      </c>
      <c r="H138" t="inlineStr">
        <is>
          <t>Sveaskog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11358-2025</t>
        </is>
      </c>
      <c r="B139" t="inlineStr">
        <is>
          <t>avverkningsanmälan</t>
        </is>
      </c>
      <c r="C139" t="inlineStr">
        <is>
          <t>Föryngringsavverkning</t>
        </is>
      </c>
      <c r="D139" s="1" t="n">
        <v>45726</v>
      </c>
      <c r="E139" s="1" t="n">
        <v>46282</v>
      </c>
      <c r="F139" t="inlineStr">
        <is>
          <t>ÖREBRO LÄN</t>
        </is>
      </c>
      <c r="G139" t="inlineStr">
        <is>
          <t>HALLSBERG</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44177-2025</t>
        </is>
      </c>
      <c r="B140" t="inlineStr">
        <is>
          <t>avverkningsanmälan</t>
        </is>
      </c>
      <c r="C140" t="inlineStr">
        <is>
          <t>Föryngringsavverkning</t>
        </is>
      </c>
      <c r="D140" s="1" t="n">
        <v>45915</v>
      </c>
      <c r="E140" s="1" t="n">
        <v>46282</v>
      </c>
      <c r="F140" t="inlineStr">
        <is>
          <t>ÖREBRO LÄN</t>
        </is>
      </c>
      <c r="G140" t="inlineStr">
        <is>
          <t>HALLSBERG</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44305-2025</t>
        </is>
      </c>
      <c r="B141" t="inlineStr">
        <is>
          <t>avverkningsanmälan</t>
        </is>
      </c>
      <c r="C141" t="inlineStr">
        <is>
          <t>Föryngringsavverkning</t>
        </is>
      </c>
      <c r="D141" s="1" t="n">
        <v>45916</v>
      </c>
      <c r="E141" s="1" t="n">
        <v>46282</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7191-2025</t>
        </is>
      </c>
      <c r="B142" t="inlineStr">
        <is>
          <t>avverkningsanmälan</t>
        </is>
      </c>
      <c r="C142" t="inlineStr">
        <is>
          <t>Föryngringsavverkning</t>
        </is>
      </c>
      <c r="D142" s="1" t="n">
        <v>45702</v>
      </c>
      <c r="E142" s="1" t="n">
        <v>46282</v>
      </c>
      <c r="F142" t="inlineStr">
        <is>
          <t>ÖREBRO LÄN</t>
        </is>
      </c>
      <c r="G142" t="inlineStr">
        <is>
          <t>HALLSBERG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8278-2023</t>
        </is>
      </c>
      <c r="B143" t="inlineStr">
        <is>
          <t>avverkningsanmälan</t>
        </is>
      </c>
      <c r="C143" t="inlineStr">
        <is>
          <t>Föryngringsavverkning</t>
        </is>
      </c>
      <c r="D143" s="1" t="n">
        <v>44974</v>
      </c>
      <c r="E143" s="1" t="n">
        <v>46282</v>
      </c>
      <c r="F143" t="inlineStr">
        <is>
          <t>ÖREBRO LÄN</t>
        </is>
      </c>
      <c r="G143" t="inlineStr">
        <is>
          <t>HALLSBERG</t>
        </is>
      </c>
      <c r="H143" t="inlineStr">
        <is>
          <t>Kommuner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33729-2025</t>
        </is>
      </c>
      <c r="B144" t="inlineStr">
        <is>
          <t>avverkningsanmälan</t>
        </is>
      </c>
      <c r="C144" t="inlineStr">
        <is>
          <t>Föryngringsavverkning</t>
        </is>
      </c>
      <c r="D144" s="1" t="n">
        <v>45842</v>
      </c>
      <c r="E144" s="1" t="n">
        <v>46282</v>
      </c>
      <c r="F144" t="inlineStr">
        <is>
          <t>ÖREBRO LÄN</t>
        </is>
      </c>
      <c r="G144" t="inlineStr">
        <is>
          <t>HALLSBERG</t>
        </is>
      </c>
      <c r="H144" t="inlineStr">
        <is>
          <t>Allmännings- och besparingsskogar</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29735-2023</t>
        </is>
      </c>
      <c r="B145" t="inlineStr">
        <is>
          <t>avverkningsanmälan</t>
        </is>
      </c>
      <c r="C145" t="inlineStr">
        <is>
          <t>Avverkning för annat ändamål</t>
        </is>
      </c>
      <c r="D145" s="1" t="n">
        <v>45098</v>
      </c>
      <c r="E145" s="1" t="n">
        <v>46282</v>
      </c>
      <c r="F145" t="inlineStr">
        <is>
          <t>ÖREBRO LÄN</t>
        </is>
      </c>
      <c r="G145" t="inlineStr">
        <is>
          <t>HALLSBERG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46160-2025</t>
        </is>
      </c>
      <c r="B146" t="inlineStr">
        <is>
          <t>avverkningsanmälan</t>
        </is>
      </c>
      <c r="C146" t="inlineStr">
        <is>
          <t>Avverkning för annat ändamål</t>
        </is>
      </c>
      <c r="D146" s="1" t="n">
        <v>45924</v>
      </c>
      <c r="E146" s="1" t="n">
        <v>46282</v>
      </c>
      <c r="F146" t="inlineStr">
        <is>
          <t>ÖREBRO LÄN</t>
        </is>
      </c>
      <c r="G146" t="inlineStr">
        <is>
          <t>HALLSBERG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3235-2026</t>
        </is>
      </c>
      <c r="B147" t="inlineStr">
        <is>
          <t>avverkningsanmälan</t>
        </is>
      </c>
      <c r="C147" t="inlineStr">
        <is>
          <t>Föryngringsavverkning</t>
        </is>
      </c>
      <c r="D147" s="1" t="n">
        <v>46041</v>
      </c>
      <c r="E147" s="1" t="n">
        <v>46282</v>
      </c>
      <c r="F147" t="inlineStr">
        <is>
          <t>ÖREBRO LÄN</t>
        </is>
      </c>
      <c r="G147" t="inlineStr">
        <is>
          <t>HALLSBERG</t>
        </is>
      </c>
      <c r="H147" t="inlineStr">
        <is>
          <t>Kyrkan</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3257-2026</t>
        </is>
      </c>
      <c r="B148" t="inlineStr">
        <is>
          <t>avverkningsanmälan</t>
        </is>
      </c>
      <c r="C148" t="inlineStr">
        <is>
          <t>Föryngringsavverkning</t>
        </is>
      </c>
      <c r="D148" s="1" t="n">
        <v>46041</v>
      </c>
      <c r="E148" s="1" t="n">
        <v>46282</v>
      </c>
      <c r="F148" t="inlineStr">
        <is>
          <t>ÖREBRO LÄN</t>
        </is>
      </c>
      <c r="G148" t="inlineStr">
        <is>
          <t>HALLSBERG</t>
        </is>
      </c>
      <c r="H148" t="inlineStr">
        <is>
          <t>Kyrkan</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3236-2026</t>
        </is>
      </c>
      <c r="B149" t="inlineStr">
        <is>
          <t>avverkningsanmälan</t>
        </is>
      </c>
      <c r="C149" t="inlineStr">
        <is>
          <t>Föryngringsavverkning</t>
        </is>
      </c>
      <c r="D149" s="1" t="n">
        <v>46041</v>
      </c>
      <c r="E149" s="1" t="n">
        <v>46282</v>
      </c>
      <c r="F149" t="inlineStr">
        <is>
          <t>ÖREBRO LÄN</t>
        </is>
      </c>
      <c r="G149" t="inlineStr">
        <is>
          <t>HALLSBERG</t>
        </is>
      </c>
      <c r="H149" t="inlineStr">
        <is>
          <t>Kyrkan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3259-2026</t>
        </is>
      </c>
      <c r="B150" t="inlineStr">
        <is>
          <t>avverkningsanmälan</t>
        </is>
      </c>
      <c r="C150" t="inlineStr">
        <is>
          <t>Föryngringsavverkning</t>
        </is>
      </c>
      <c r="D150" s="1" t="n">
        <v>46041</v>
      </c>
      <c r="E150" s="1" t="n">
        <v>46282</v>
      </c>
      <c r="F150" t="inlineStr">
        <is>
          <t>ÖREBRO LÄN</t>
        </is>
      </c>
      <c r="G150" t="inlineStr">
        <is>
          <t>HALLSBERG</t>
        </is>
      </c>
      <c r="H150" t="inlineStr">
        <is>
          <t>Kyrkan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9663-2023</t>
        </is>
      </c>
      <c r="B151" t="inlineStr">
        <is>
          <t>avverkningsanmälan</t>
        </is>
      </c>
      <c r="C151" t="inlineStr">
        <is>
          <t>Föryngringsavverkning</t>
        </is>
      </c>
      <c r="D151" s="1" t="n">
        <v>44978</v>
      </c>
      <c r="E151" s="1" t="n">
        <v>46282</v>
      </c>
      <c r="F151" t="inlineStr">
        <is>
          <t>ÖREBRO LÄN</t>
        </is>
      </c>
      <c r="G151" t="inlineStr">
        <is>
          <t>HALLSBERG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44811-2023</t>
        </is>
      </c>
      <c r="B152" t="inlineStr">
        <is>
          <t>avverkningsanmälan</t>
        </is>
      </c>
      <c r="C152" t="inlineStr">
        <is>
          <t>Föryngringsavverkning</t>
        </is>
      </c>
      <c r="D152" s="1" t="n">
        <v>45190</v>
      </c>
      <c r="E152" s="1" t="n">
        <v>46282</v>
      </c>
      <c r="F152" t="inlineStr">
        <is>
          <t>ÖREBRO LÄN</t>
        </is>
      </c>
      <c r="G152" t="inlineStr">
        <is>
          <t>HALLSBERG</t>
        </is>
      </c>
      <c r="H152" t="inlineStr">
        <is>
          <t>Allmännings- och besparingsskogar</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17016-2023</t>
        </is>
      </c>
      <c r="B153" t="inlineStr">
        <is>
          <t>avverkningsanmälan</t>
        </is>
      </c>
      <c r="C153" t="inlineStr">
        <is>
          <t>Föryngringsavverkning</t>
        </is>
      </c>
      <c r="D153" s="1" t="n">
        <v>45034</v>
      </c>
      <c r="E153" s="1" t="n">
        <v>46282</v>
      </c>
      <c r="F153" t="inlineStr">
        <is>
          <t>ÖREBRO LÄN</t>
        </is>
      </c>
      <c r="G153" t="inlineStr">
        <is>
          <t>HALLSBERG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45300-2024</t>
        </is>
      </c>
      <c r="B154" t="inlineStr">
        <is>
          <t>avverkningsanmälan</t>
        </is>
      </c>
      <c r="C154" t="inlineStr">
        <is>
          <t>Föryngringsavverkning</t>
        </is>
      </c>
      <c r="D154" s="1" t="n">
        <v>45576</v>
      </c>
      <c r="E154" s="1" t="n">
        <v>46282</v>
      </c>
      <c r="F154" t="inlineStr">
        <is>
          <t>ÖREBRO LÄN</t>
        </is>
      </c>
      <c r="G154" t="inlineStr">
        <is>
          <t>HALLSBERG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12008-2025</t>
        </is>
      </c>
      <c r="B155" t="inlineStr">
        <is>
          <t>avverkningsanmälan</t>
        </is>
      </c>
      <c r="C155" t="inlineStr">
        <is>
          <t>Föryngringsavverkning</t>
        </is>
      </c>
      <c r="D155" s="1" t="n">
        <v>45728</v>
      </c>
      <c r="E155" s="1" t="n">
        <v>46282</v>
      </c>
      <c r="F155" t="inlineStr">
        <is>
          <t>ÖREBRO LÄN</t>
        </is>
      </c>
      <c r="G155" t="inlineStr">
        <is>
          <t>HALLSBERG</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18891-2024</t>
        </is>
      </c>
      <c r="B156" t="inlineStr">
        <is>
          <t>avverkningsanmälan</t>
        </is>
      </c>
      <c r="C156" t="inlineStr">
        <is>
          <t>Föryngringsavverkning</t>
        </is>
      </c>
      <c r="D156" s="1" t="n">
        <v>45427</v>
      </c>
      <c r="E156" s="1" t="n">
        <v>46282</v>
      </c>
      <c r="F156" t="inlineStr">
        <is>
          <t>ÖREBRO LÄN</t>
        </is>
      </c>
      <c r="G156" t="inlineStr">
        <is>
          <t>HALLSBERG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3896-2026</t>
        </is>
      </c>
      <c r="B157" t="inlineStr">
        <is>
          <t>avverkningsanmälan</t>
        </is>
      </c>
      <c r="C157" t="inlineStr">
        <is>
          <t>Föryngringsavverkning</t>
        </is>
      </c>
      <c r="D157" s="1" t="n">
        <v>46043</v>
      </c>
      <c r="E157" s="1" t="n">
        <v>46282</v>
      </c>
      <c r="F157" t="inlineStr">
        <is>
          <t>ÖREBRO LÄN</t>
        </is>
      </c>
      <c r="G157" t="inlineStr">
        <is>
          <t>HALLSBERG</t>
        </is>
      </c>
      <c r="H157" t="inlineStr">
        <is>
          <t>Övriga Aktiebolag</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3897-2026</t>
        </is>
      </c>
      <c r="B158" t="inlineStr">
        <is>
          <t>avverkningsanmälan</t>
        </is>
      </c>
      <c r="C158" t="inlineStr">
        <is>
          <t>Föryngringsavverkning</t>
        </is>
      </c>
      <c r="D158" s="1" t="n">
        <v>46043</v>
      </c>
      <c r="E158" s="1" t="n">
        <v>46282</v>
      </c>
      <c r="F158" t="inlineStr">
        <is>
          <t>ÖREBRO LÄN</t>
        </is>
      </c>
      <c r="G158" t="inlineStr">
        <is>
          <t>HALLSBERG</t>
        </is>
      </c>
      <c r="H158" t="inlineStr">
        <is>
          <t>Övriga Aktiebolag</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37054-2025</t>
        </is>
      </c>
      <c r="B159" t="inlineStr">
        <is>
          <t>avverkningsanmälan</t>
        </is>
      </c>
      <c r="C159" t="inlineStr">
        <is>
          <t>Föryngringsavverkning</t>
        </is>
      </c>
      <c r="D159" s="1" t="n">
        <v>45875</v>
      </c>
      <c r="E159" s="1" t="n">
        <v>46282</v>
      </c>
      <c r="F159" t="inlineStr">
        <is>
          <t>ÖREBRO LÄN</t>
        </is>
      </c>
      <c r="G159" t="inlineStr">
        <is>
          <t>HALLSBERG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10863-2022</t>
        </is>
      </c>
      <c r="B160" t="inlineStr">
        <is>
          <t>avverkningsanmälan</t>
        </is>
      </c>
      <c r="C160" t="inlineStr">
        <is>
          <t>Föryngringsavverkning</t>
        </is>
      </c>
      <c r="D160" s="1" t="n">
        <v>44627</v>
      </c>
      <c r="E160" s="1" t="n">
        <v>46282</v>
      </c>
      <c r="F160" t="inlineStr">
        <is>
          <t>ÖREBRO LÄN</t>
        </is>
      </c>
      <c r="G160" t="inlineStr">
        <is>
          <t>HALLSBERG</t>
        </is>
      </c>
      <c r="I160" t="n">
        <v>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38344-2024</t>
        </is>
      </c>
      <c r="B161" t="inlineStr">
        <is>
          <t>avverkningsanmälan</t>
        </is>
      </c>
      <c r="C161" t="inlineStr">
        <is>
          <t>Föryngringsavverkning</t>
        </is>
      </c>
      <c r="D161" s="1" t="n">
        <v>45545</v>
      </c>
      <c r="E161" s="1" t="n">
        <v>46282</v>
      </c>
      <c r="F161" t="inlineStr">
        <is>
          <t>ÖREBRO LÄN</t>
        </is>
      </c>
      <c r="G161" t="inlineStr">
        <is>
          <t>HALLSBERG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37228-2025</t>
        </is>
      </c>
      <c r="B162" t="inlineStr">
        <is>
          <t>avverkningsanmälan</t>
        </is>
      </c>
      <c r="C162" t="inlineStr">
        <is>
          <t>Föryngringsavverkning</t>
        </is>
      </c>
      <c r="D162" s="1" t="n">
        <v>45876</v>
      </c>
      <c r="E162" s="1" t="n">
        <v>46282</v>
      </c>
      <c r="F162" t="inlineStr">
        <is>
          <t>ÖREBRO LÄN</t>
        </is>
      </c>
      <c r="G162" t="inlineStr">
        <is>
          <t>HALLSBERG</t>
        </is>
      </c>
      <c r="I162" t="n">
        <v>16.2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37229-2025</t>
        </is>
      </c>
      <c r="B163" t="inlineStr">
        <is>
          <t>avverkningsanmälan</t>
        </is>
      </c>
      <c r="C163" t="inlineStr">
        <is>
          <t>Föryngringsavverkning</t>
        </is>
      </c>
      <c r="D163" s="1" t="n">
        <v>45876</v>
      </c>
      <c r="E163" s="1" t="n">
        <v>46282</v>
      </c>
      <c r="F163" t="inlineStr">
        <is>
          <t>ÖREBRO LÄN</t>
        </is>
      </c>
      <c r="G163" t="inlineStr">
        <is>
          <t>HALLSBERG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50980-2025</t>
        </is>
      </c>
      <c r="B164" t="inlineStr">
        <is>
          <t>avverkningsanmälan</t>
        </is>
      </c>
      <c r="C164" t="inlineStr">
        <is>
          <t>Föryngringsavverkning</t>
        </is>
      </c>
      <c r="D164" s="1" t="n">
        <v>45947</v>
      </c>
      <c r="E164" s="1" t="n">
        <v>46282</v>
      </c>
      <c r="F164" t="inlineStr">
        <is>
          <t>ÖREBRO LÄN</t>
        </is>
      </c>
      <c r="G164" t="inlineStr">
        <is>
          <t>HALLSBERG</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38179-2025</t>
        </is>
      </c>
      <c r="B165" t="inlineStr">
        <is>
          <t>avverkningsanmälan</t>
        </is>
      </c>
      <c r="C165" t="inlineStr">
        <is>
          <t>Föryngringsavverkning</t>
        </is>
      </c>
      <c r="D165" s="1" t="n">
        <v>45882</v>
      </c>
      <c r="E165" s="1" t="n">
        <v>46282</v>
      </c>
      <c r="F165" t="inlineStr">
        <is>
          <t>ÖREBRO LÄN</t>
        </is>
      </c>
      <c r="G165" t="inlineStr">
        <is>
          <t>HALLSBERG</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40968-2023</t>
        </is>
      </c>
      <c r="B166" t="inlineStr">
        <is>
          <t>avverkningsanmälan</t>
        </is>
      </c>
      <c r="C166" t="inlineStr">
        <is>
          <t>Avverkning för att bevara och utveckla /försöksver</t>
        </is>
      </c>
      <c r="D166" s="1" t="n">
        <v>45173</v>
      </c>
      <c r="E166" s="1" t="n">
        <v>46282</v>
      </c>
      <c r="F166" t="inlineStr">
        <is>
          <t>ÖREBRO LÄN</t>
        </is>
      </c>
      <c r="G166" t="inlineStr">
        <is>
          <t>HALLSBERG</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69607-2021</t>
        </is>
      </c>
      <c r="B167" t="inlineStr">
        <is>
          <t>avverkningsanmälan</t>
        </is>
      </c>
      <c r="C167" t="inlineStr">
        <is>
          <t>Föryngringsavverkning</t>
        </is>
      </c>
      <c r="D167" s="1" t="n">
        <v>44532</v>
      </c>
      <c r="E167" s="1" t="n">
        <v>46282</v>
      </c>
      <c r="F167" t="inlineStr">
        <is>
          <t>ÖREBRO LÄN</t>
        </is>
      </c>
      <c r="G167" t="inlineStr">
        <is>
          <t>HALLSBERG</t>
        </is>
      </c>
      <c r="H167" t="inlineStr">
        <is>
          <t>Kommuner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14288-2023</t>
        </is>
      </c>
      <c r="B168" t="inlineStr">
        <is>
          <t>avverkningsanmälan</t>
        </is>
      </c>
      <c r="C168" t="inlineStr">
        <is>
          <t>Föryngringsavverkning</t>
        </is>
      </c>
      <c r="D168" s="1" t="n">
        <v>45010</v>
      </c>
      <c r="E168" s="1" t="n">
        <v>46282</v>
      </c>
      <c r="F168" t="inlineStr">
        <is>
          <t>ÖREBRO LÄN</t>
        </is>
      </c>
      <c r="G168" t="inlineStr">
        <is>
          <t>HALLSBERG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51920-2025</t>
        </is>
      </c>
      <c r="B169" t="inlineStr">
        <is>
          <t>avverkningsanmälan</t>
        </is>
      </c>
      <c r="C169" t="inlineStr">
        <is>
          <t>Föryngringsavverkning</t>
        </is>
      </c>
      <c r="D169" s="1" t="n">
        <v>45952</v>
      </c>
      <c r="E169" s="1" t="n">
        <v>46282</v>
      </c>
      <c r="F169" t="inlineStr">
        <is>
          <t>ÖREBRO LÄN</t>
        </is>
      </c>
      <c r="G169" t="inlineStr">
        <is>
          <t>HALLSBERG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51942-2025</t>
        </is>
      </c>
      <c r="B170" t="inlineStr">
        <is>
          <t>avverkningsanmälan</t>
        </is>
      </c>
      <c r="C170" t="inlineStr">
        <is>
          <t>Föryngringsavverkning</t>
        </is>
      </c>
      <c r="D170" s="1" t="n">
        <v>45952</v>
      </c>
      <c r="E170" s="1" t="n">
        <v>46282</v>
      </c>
      <c r="F170" t="inlineStr">
        <is>
          <t>ÖREBRO LÄN</t>
        </is>
      </c>
      <c r="G170" t="inlineStr">
        <is>
          <t>HALLSBERG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52959-2025</t>
        </is>
      </c>
      <c r="B171" t="inlineStr">
        <is>
          <t>avverkningsanmälan</t>
        </is>
      </c>
      <c r="C171" t="inlineStr">
        <is>
          <t>Föryngringsavverkning</t>
        </is>
      </c>
      <c r="D171" s="1" t="n">
        <v>45956</v>
      </c>
      <c r="E171" s="1" t="n">
        <v>46282</v>
      </c>
      <c r="F171" t="inlineStr">
        <is>
          <t>ÖREBRO LÄN</t>
        </is>
      </c>
      <c r="G171" t="inlineStr">
        <is>
          <t>HALLSBERG</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24801-2023</t>
        </is>
      </c>
      <c r="B172" t="inlineStr">
        <is>
          <t>avverkningsanmälan</t>
        </is>
      </c>
      <c r="C172" t="inlineStr">
        <is>
          <t>Föryngringsavverkning</t>
        </is>
      </c>
      <c r="D172" s="1" t="n">
        <v>45084</v>
      </c>
      <c r="E172" s="1" t="n">
        <v>46282</v>
      </c>
      <c r="F172" t="inlineStr">
        <is>
          <t>ÖREBRO LÄN</t>
        </is>
      </c>
      <c r="G172" t="inlineStr">
        <is>
          <t>HALLSBERG</t>
        </is>
      </c>
      <c r="H172" t="inlineStr">
        <is>
          <t>Allmännings- och besparingsskogar</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7238-2026</t>
        </is>
      </c>
      <c r="B173" t="inlineStr">
        <is>
          <t>avverkningsanmälan</t>
        </is>
      </c>
      <c r="C173" t="inlineStr">
        <is>
          <t>Föryngringsavverkning</t>
        </is>
      </c>
      <c r="D173" s="1" t="n">
        <v>46058</v>
      </c>
      <c r="E173" s="1" t="n">
        <v>46282</v>
      </c>
      <c r="F173" t="inlineStr">
        <is>
          <t>ÖREBRO LÄN</t>
        </is>
      </c>
      <c r="G173" t="inlineStr">
        <is>
          <t>HALLSBERG</t>
        </is>
      </c>
      <c r="H173" t="inlineStr">
        <is>
          <t>Övriga Aktiebolag</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31290-2023</t>
        </is>
      </c>
      <c r="B174" t="inlineStr">
        <is>
          <t>avverkningsanmälan</t>
        </is>
      </c>
      <c r="C174" t="inlineStr">
        <is>
          <t>Föryngringsavverkning</t>
        </is>
      </c>
      <c r="D174" s="1" t="n">
        <v>45114</v>
      </c>
      <c r="E174" s="1" t="n">
        <v>46282</v>
      </c>
      <c r="F174" t="inlineStr">
        <is>
          <t>ÖREBRO LÄN</t>
        </is>
      </c>
      <c r="G174" t="inlineStr">
        <is>
          <t>HALLSBERG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9645-2024</t>
        </is>
      </c>
      <c r="B175" t="inlineStr">
        <is>
          <t>avverkningsanmälan</t>
        </is>
      </c>
      <c r="C175" t="inlineStr">
        <is>
          <t>Föryngringsavverkning</t>
        </is>
      </c>
      <c r="D175" s="1" t="n">
        <v>45362</v>
      </c>
      <c r="E175" s="1" t="n">
        <v>46282</v>
      </c>
      <c r="F175" t="inlineStr">
        <is>
          <t>ÖREBRO LÄN</t>
        </is>
      </c>
      <c r="G175" t="inlineStr">
        <is>
          <t>HALLSBERG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7991-2026</t>
        </is>
      </c>
      <c r="B176" t="inlineStr">
        <is>
          <t>avverkningsanmälan</t>
        </is>
      </c>
      <c r="C176" t="inlineStr">
        <is>
          <t>Föryngringsavverkning</t>
        </is>
      </c>
      <c r="D176" s="1" t="n">
        <v>46063</v>
      </c>
      <c r="E176" s="1" t="n">
        <v>46282</v>
      </c>
      <c r="F176" t="inlineStr">
        <is>
          <t>ÖREBRO LÄN</t>
        </is>
      </c>
      <c r="G176" t="inlineStr">
        <is>
          <t>HALLSBERG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7992-2026</t>
        </is>
      </c>
      <c r="B177" t="inlineStr">
        <is>
          <t>avverkningsanmälan</t>
        </is>
      </c>
      <c r="C177" t="inlineStr">
        <is>
          <t>Föryngringsavverkning</t>
        </is>
      </c>
      <c r="D177" s="1" t="n">
        <v>46063</v>
      </c>
      <c r="E177" s="1" t="n">
        <v>46282</v>
      </c>
      <c r="F177" t="inlineStr">
        <is>
          <t>ÖREBRO LÄN</t>
        </is>
      </c>
      <c r="G177" t="inlineStr">
        <is>
          <t>HALLSBERG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36880-2022</t>
        </is>
      </c>
      <c r="B178" t="inlineStr">
        <is>
          <t>avverkningsanmälan</t>
        </is>
      </c>
      <c r="C178" t="inlineStr">
        <is>
          <t>Föryngringsavverkning</t>
        </is>
      </c>
      <c r="D178" s="1" t="n">
        <v>44805</v>
      </c>
      <c r="E178" s="1" t="n">
        <v>46282</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8347-2024</t>
        </is>
      </c>
      <c r="B179" t="inlineStr">
        <is>
          <t>avverkningsanmälan</t>
        </is>
      </c>
      <c r="C179" t="inlineStr">
        <is>
          <t>Avverkning för att bevara och utveckla /försöksver</t>
        </is>
      </c>
      <c r="D179" s="1" t="n">
        <v>45352</v>
      </c>
      <c r="E179" s="1" t="n">
        <v>46282</v>
      </c>
      <c r="F179" t="inlineStr">
        <is>
          <t>ÖREBRO LÄN</t>
        </is>
      </c>
      <c r="G179" t="inlineStr">
        <is>
          <t>HALLSBERG</t>
        </is>
      </c>
      <c r="H179" t="inlineStr">
        <is>
          <t>Sveaskog</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8869-2022</t>
        </is>
      </c>
      <c r="B180" t="inlineStr">
        <is>
          <t>avverkningsanmälan</t>
        </is>
      </c>
      <c r="C180" t="inlineStr">
        <is>
          <t>Föryngringsavverkning</t>
        </is>
      </c>
      <c r="D180" s="1" t="n">
        <v>44614</v>
      </c>
      <c r="E180" s="1" t="n">
        <v>46282</v>
      </c>
      <c r="F180" t="inlineStr">
        <is>
          <t>ÖREBRO LÄN</t>
        </is>
      </c>
      <c r="G180" t="inlineStr">
        <is>
          <t>HALLSBERG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56890-2025</t>
        </is>
      </c>
      <c r="B181" t="inlineStr">
        <is>
          <t>avverkningsanmälan</t>
        </is>
      </c>
      <c r="C181" t="inlineStr">
        <is>
          <t>Avverkning för att bevara och utveckla /försöksver</t>
        </is>
      </c>
      <c r="D181" s="1" t="n">
        <v>45978</v>
      </c>
      <c r="E181" s="1" t="n">
        <v>46282</v>
      </c>
      <c r="F181" t="inlineStr">
        <is>
          <t>ÖREBRO LÄN</t>
        </is>
      </c>
      <c r="G181" t="inlineStr">
        <is>
          <t>HALLSBERG</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9073-2023</t>
        </is>
      </c>
      <c r="B182" t="inlineStr">
        <is>
          <t>avverkningsanmälan</t>
        </is>
      </c>
      <c r="C182" t="inlineStr">
        <is>
          <t>Föryngringsavverkning</t>
        </is>
      </c>
      <c r="D182" s="1" t="n">
        <v>44979</v>
      </c>
      <c r="E182" s="1" t="n">
        <v>46282</v>
      </c>
      <c r="F182" t="inlineStr">
        <is>
          <t>ÖREBRO LÄN</t>
        </is>
      </c>
      <c r="G182" t="inlineStr">
        <is>
          <t>HALLSBERG</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57766-2025</t>
        </is>
      </c>
      <c r="B183" t="inlineStr">
        <is>
          <t>avverkningsanmälan</t>
        </is>
      </c>
      <c r="C183" t="inlineStr">
        <is>
          <t>Föryngringsavverkning</t>
        </is>
      </c>
      <c r="D183" s="1" t="n">
        <v>45981</v>
      </c>
      <c r="E183" s="1" t="n">
        <v>46282</v>
      </c>
      <c r="F183" t="inlineStr">
        <is>
          <t>ÖREBRO LÄN</t>
        </is>
      </c>
      <c r="G183" t="inlineStr">
        <is>
          <t>HALLSBERG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37723-2023</t>
        </is>
      </c>
      <c r="B184" t="inlineStr">
        <is>
          <t>avverkningsanmälan</t>
        </is>
      </c>
      <c r="C184" t="inlineStr">
        <is>
          <t>Föryngringsavverkning</t>
        </is>
      </c>
      <c r="D184" s="1" t="n">
        <v>45159</v>
      </c>
      <c r="E184" s="1" t="n">
        <v>46282</v>
      </c>
      <c r="F184" t="inlineStr">
        <is>
          <t>ÖREBRO LÄN</t>
        </is>
      </c>
      <c r="G184" t="inlineStr">
        <is>
          <t>HALLSBERG</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37451-2023</t>
        </is>
      </c>
      <c r="B185" t="inlineStr">
        <is>
          <t>avverkningsanmälan</t>
        </is>
      </c>
      <c r="C185" t="inlineStr">
        <is>
          <t>Avverkning för att bevara och utveckla /försöksver</t>
        </is>
      </c>
      <c r="D185" s="1" t="n">
        <v>45156</v>
      </c>
      <c r="E185" s="1" t="n">
        <v>46282</v>
      </c>
      <c r="F185" t="inlineStr">
        <is>
          <t>ÖREBRO LÄN</t>
        </is>
      </c>
      <c r="G185" t="inlineStr">
        <is>
          <t>HALLSBERG</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9414-2022</t>
        </is>
      </c>
      <c r="B186" t="inlineStr">
        <is>
          <t>avverkningsanmälan</t>
        </is>
      </c>
      <c r="C186" t="inlineStr">
        <is>
          <t>Föryngringsavverkning</t>
        </is>
      </c>
      <c r="D186" s="1" t="n">
        <v>44616</v>
      </c>
      <c r="E186" s="1" t="n">
        <v>46282</v>
      </c>
      <c r="F186" t="inlineStr">
        <is>
          <t>ÖREBRO LÄN</t>
        </is>
      </c>
      <c r="G186" t="inlineStr">
        <is>
          <t>HALLSBERG</t>
        </is>
      </c>
      <c r="H186" t="inlineStr">
        <is>
          <t>Allmännings- och besparingsskogar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15523-2024</t>
        </is>
      </c>
      <c r="B187" t="inlineStr">
        <is>
          <t>avverkningsanmälan</t>
        </is>
      </c>
      <c r="C187" t="inlineStr">
        <is>
          <t>Avverkning för att bevara och utveckla /försöksver</t>
        </is>
      </c>
      <c r="D187" s="1" t="n">
        <v>45401</v>
      </c>
      <c r="E187" s="1" t="n">
        <v>46282</v>
      </c>
      <c r="F187" t="inlineStr">
        <is>
          <t>ÖREBRO LÄN</t>
        </is>
      </c>
      <c r="G187" t="inlineStr">
        <is>
          <t>HALLSBERG</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28535-2024</t>
        </is>
      </c>
      <c r="B188" t="inlineStr">
        <is>
          <t>avverkningsanmälan</t>
        </is>
      </c>
      <c r="C188" t="inlineStr">
        <is>
          <t>Avverkning för att bevara och utveckla /försöksver</t>
        </is>
      </c>
      <c r="D188" s="1" t="n">
        <v>45478</v>
      </c>
      <c r="E188" s="1" t="n">
        <v>46282</v>
      </c>
      <c r="F188" t="inlineStr">
        <is>
          <t>ÖREBRO LÄN</t>
        </is>
      </c>
      <c r="G188" t="inlineStr">
        <is>
          <t>HALLSBERG</t>
        </is>
      </c>
      <c r="H188" t="inlineStr">
        <is>
          <t>Sveaskog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59861-2025</t>
        </is>
      </c>
      <c r="B189" t="inlineStr">
        <is>
          <t>avverkningsanmälan</t>
        </is>
      </c>
      <c r="C189" t="inlineStr">
        <is>
          <t>Föryngringsavverkning</t>
        </is>
      </c>
      <c r="D189" s="1" t="n">
        <v>45992</v>
      </c>
      <c r="E189" s="1" t="n">
        <v>46282</v>
      </c>
      <c r="F189" t="inlineStr">
        <is>
          <t>ÖREBRO LÄN</t>
        </is>
      </c>
      <c r="G189" t="inlineStr">
        <is>
          <t>HALLSBERG</t>
        </is>
      </c>
      <c r="H189" t="inlineStr">
        <is>
          <t>Kommuner</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60558-2025</t>
        </is>
      </c>
      <c r="B190" t="inlineStr">
        <is>
          <t>avverkningsanmälan</t>
        </is>
      </c>
      <c r="C190" t="inlineStr">
        <is>
          <t>Föryngringsavverkning</t>
        </is>
      </c>
      <c r="D190" s="1" t="n">
        <v>45995</v>
      </c>
      <c r="E190" s="1" t="n">
        <v>46282</v>
      </c>
      <c r="F190" t="inlineStr">
        <is>
          <t>ÖREBRO LÄN</t>
        </is>
      </c>
      <c r="G190" t="inlineStr">
        <is>
          <t>HALLSBERG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38010-2023</t>
        </is>
      </c>
      <c r="B191" t="inlineStr">
        <is>
          <t>avverkningsanmälan</t>
        </is>
      </c>
      <c r="C191" t="inlineStr">
        <is>
          <t>Föryngringsavverkning</t>
        </is>
      </c>
      <c r="D191" s="1" t="n">
        <v>45160</v>
      </c>
      <c r="E191" s="1" t="n">
        <v>46282</v>
      </c>
      <c r="F191" t="inlineStr">
        <is>
          <t>ÖREBRO LÄN</t>
        </is>
      </c>
      <c r="G191" t="inlineStr">
        <is>
          <t>HALLSBERG</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60082-2023</t>
        </is>
      </c>
      <c r="B192" t="inlineStr">
        <is>
          <t>avverkningsanmälan</t>
        </is>
      </c>
      <c r="C192" t="inlineStr">
        <is>
          <t>Avverkning för att bevara och utveckla /försöksver</t>
        </is>
      </c>
      <c r="D192" s="1" t="n">
        <v>45258</v>
      </c>
      <c r="E192" s="1" t="n">
        <v>46282</v>
      </c>
      <c r="F192" t="inlineStr">
        <is>
          <t>ÖREBRO LÄN</t>
        </is>
      </c>
      <c r="G192" t="inlineStr">
        <is>
          <t>HALLSBERG</t>
        </is>
      </c>
      <c r="H192" t="inlineStr">
        <is>
          <t>Sveaskog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17700-2025</t>
        </is>
      </c>
      <c r="B193" t="inlineStr">
        <is>
          <t>avverkningsanmälan</t>
        </is>
      </c>
      <c r="C193" t="inlineStr">
        <is>
          <t>Föryngringsavverkning</t>
        </is>
      </c>
      <c r="D193" s="1" t="n">
        <v>45758</v>
      </c>
      <c r="E193" s="1" t="n">
        <v>46282</v>
      </c>
      <c r="F193" t="inlineStr">
        <is>
          <t>ÖREBRO LÄN</t>
        </is>
      </c>
      <c r="G193" t="inlineStr">
        <is>
          <t>HALLSBERG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56272-2023</t>
        </is>
      </c>
      <c r="B194" t="inlineStr">
        <is>
          <t>avverkningsanmälan</t>
        </is>
      </c>
      <c r="C194" t="inlineStr">
        <is>
          <t>Föryngringsavverkning</t>
        </is>
      </c>
      <c r="D194" s="1" t="n">
        <v>45241</v>
      </c>
      <c r="E194" s="1" t="n">
        <v>46282</v>
      </c>
      <c r="F194" t="inlineStr">
        <is>
          <t>ÖREBRO LÄN</t>
        </is>
      </c>
      <c r="G194" t="inlineStr">
        <is>
          <t>HALLSBERG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2910-2025</t>
        </is>
      </c>
      <c r="B195" t="inlineStr">
        <is>
          <t>avverkningsanmälan</t>
        </is>
      </c>
      <c r="C195" t="inlineStr">
        <is>
          <t>Föryngringsavverkning</t>
        </is>
      </c>
      <c r="D195" s="1" t="n">
        <v>45677</v>
      </c>
      <c r="E195" s="1" t="n">
        <v>46282</v>
      </c>
      <c r="F195" t="inlineStr">
        <is>
          <t>ÖREBRO LÄN</t>
        </is>
      </c>
      <c r="G195" t="inlineStr">
        <is>
          <t>HALLSBERG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9814-2025</t>
        </is>
      </c>
      <c r="B196" t="inlineStr">
        <is>
          <t>avverkningsanmälan</t>
        </is>
      </c>
      <c r="C196" t="inlineStr">
        <is>
          <t>Föryngringsavverkning</t>
        </is>
      </c>
      <c r="D196" s="1" t="n">
        <v>45715</v>
      </c>
      <c r="E196" s="1" t="n">
        <v>46282</v>
      </c>
      <c r="F196" t="inlineStr">
        <is>
          <t>ÖREBRO LÄN</t>
        </is>
      </c>
      <c r="G196" t="inlineStr">
        <is>
          <t>HALLSBERG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12018-2025</t>
        </is>
      </c>
      <c r="B197" t="inlineStr">
        <is>
          <t>avverkningsanmälan</t>
        </is>
      </c>
      <c r="C197" t="inlineStr">
        <is>
          <t>Föryngringsavverkning</t>
        </is>
      </c>
      <c r="D197" s="1" t="n">
        <v>45728</v>
      </c>
      <c r="E197" s="1" t="n">
        <v>46282</v>
      </c>
      <c r="F197" t="inlineStr">
        <is>
          <t>ÖREBRO LÄN</t>
        </is>
      </c>
      <c r="G197" t="inlineStr">
        <is>
          <t>HALLSBERG</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12471-2022</t>
        </is>
      </c>
      <c r="B198" t="inlineStr">
        <is>
          <t>avverkningsanmälan</t>
        </is>
      </c>
      <c r="C198" t="inlineStr">
        <is>
          <t>Föryngringsavverkning</t>
        </is>
      </c>
      <c r="D198" s="1" t="n">
        <v>44638</v>
      </c>
      <c r="E198" s="1" t="n">
        <v>46282</v>
      </c>
      <c r="F198" t="inlineStr">
        <is>
          <t>ÖREBRO LÄN</t>
        </is>
      </c>
      <c r="G198" t="inlineStr">
        <is>
          <t>HALLSBERG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55851-2023</t>
        </is>
      </c>
      <c r="B199" t="inlineStr">
        <is>
          <t>avverkningsanmälan</t>
        </is>
      </c>
      <c r="C199" t="inlineStr">
        <is>
          <t>Föryngringsavverkning</t>
        </is>
      </c>
      <c r="D199" s="1" t="n">
        <v>45239</v>
      </c>
      <c r="E199" s="1" t="n">
        <v>46282</v>
      </c>
      <c r="F199" t="inlineStr">
        <is>
          <t>ÖREBRO LÄN</t>
        </is>
      </c>
      <c r="G199" t="inlineStr">
        <is>
          <t>HALLSBERG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34527-2024</t>
        </is>
      </c>
      <c r="B200" t="inlineStr">
        <is>
          <t>avverkningsanmälan</t>
        </is>
      </c>
      <c r="C200" t="inlineStr">
        <is>
          <t>Föryngringsavverkning</t>
        </is>
      </c>
      <c r="D200" s="1" t="n">
        <v>45525</v>
      </c>
      <c r="E200" s="1" t="n">
        <v>46282</v>
      </c>
      <c r="F200" t="inlineStr">
        <is>
          <t>ÖREBRO LÄN</t>
        </is>
      </c>
      <c r="G200" t="inlineStr">
        <is>
          <t>HALLSBERG</t>
        </is>
      </c>
      <c r="H200" t="inlineStr">
        <is>
          <t>Allmännings- och besparingsskogar</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13977-2026</t>
        </is>
      </c>
      <c r="B201" t="inlineStr">
        <is>
          <t>avverkningsanmälan</t>
        </is>
      </c>
      <c r="C201" t="inlineStr">
        <is>
          <t>Föryngringsavverkning</t>
        </is>
      </c>
      <c r="D201" s="1" t="n">
        <v>46098</v>
      </c>
      <c r="E201" s="1" t="n">
        <v>46282</v>
      </c>
      <c r="F201" t="inlineStr">
        <is>
          <t>ÖREBRO LÄN</t>
        </is>
      </c>
      <c r="G201" t="inlineStr">
        <is>
          <t>HALLSBERG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40887-2023</t>
        </is>
      </c>
      <c r="B202" t="inlineStr">
        <is>
          <t>avverkningsanmälan</t>
        </is>
      </c>
      <c r="C202" t="inlineStr">
        <is>
          <t>Föryngringsavverkning</t>
        </is>
      </c>
      <c r="D202" s="1" t="n">
        <v>45173</v>
      </c>
      <c r="E202" s="1" t="n">
        <v>46282</v>
      </c>
      <c r="F202" t="inlineStr">
        <is>
          <t>ÖREBRO LÄN</t>
        </is>
      </c>
      <c r="G202" t="inlineStr">
        <is>
          <t>HALLSBERG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43679-2022</t>
        </is>
      </c>
      <c r="B203" t="inlineStr">
        <is>
          <t>avverkningsanmälan</t>
        </is>
      </c>
      <c r="C203" t="inlineStr">
        <is>
          <t>Föryngringsavverkning</t>
        </is>
      </c>
      <c r="D203" s="1" t="n">
        <v>44837</v>
      </c>
      <c r="E203" s="1" t="n">
        <v>46282</v>
      </c>
      <c r="F203" t="inlineStr">
        <is>
          <t>ÖREBRO LÄN</t>
        </is>
      </c>
      <c r="G203" t="inlineStr">
        <is>
          <t>HALLSBERG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12133-2023</t>
        </is>
      </c>
      <c r="B204" t="inlineStr">
        <is>
          <t>avverkningsanmälan</t>
        </is>
      </c>
      <c r="C204" t="inlineStr">
        <is>
          <t>Föryngringsavverkning</t>
        </is>
      </c>
      <c r="D204" s="1" t="n">
        <v>44998</v>
      </c>
      <c r="E204" s="1" t="n">
        <v>46282</v>
      </c>
      <c r="F204" t="inlineStr">
        <is>
          <t>ÖREBRO LÄN</t>
        </is>
      </c>
      <c r="G204" t="inlineStr">
        <is>
          <t>HALLSBERG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54075-2024</t>
        </is>
      </c>
      <c r="B205" t="inlineStr">
        <is>
          <t>avverkningsanmälan</t>
        </is>
      </c>
      <c r="C205" t="inlineStr">
        <is>
          <t>Föryngringsavverkning</t>
        </is>
      </c>
      <c r="D205" s="1" t="n">
        <v>45616</v>
      </c>
      <c r="E205" s="1" t="n">
        <v>46282</v>
      </c>
      <c r="F205" t="inlineStr">
        <is>
          <t>ÖREBRO LÄN</t>
        </is>
      </c>
      <c r="G205" t="inlineStr">
        <is>
          <t>HALLSBERG</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40551-2023</t>
        </is>
      </c>
      <c r="B206" t="inlineStr">
        <is>
          <t>avverkningsanmälan</t>
        </is>
      </c>
      <c r="C206" t="inlineStr">
        <is>
          <t>Föryngringsavverkning</t>
        </is>
      </c>
      <c r="D206" s="1" t="n">
        <v>45170</v>
      </c>
      <c r="E206" s="1" t="n">
        <v>46282</v>
      </c>
      <c r="F206" t="inlineStr">
        <is>
          <t>ÖREBRO LÄN</t>
        </is>
      </c>
      <c r="G206" t="inlineStr">
        <is>
          <t>HALLSBERG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37718-2025</t>
        </is>
      </c>
      <c r="B207" t="inlineStr">
        <is>
          <t>avverkningsanmälan</t>
        </is>
      </c>
      <c r="C207" t="inlineStr">
        <is>
          <t>Föryngringsavverkning</t>
        </is>
      </c>
      <c r="D207" s="1" t="n">
        <v>45880</v>
      </c>
      <c r="E207" s="1" t="n">
        <v>46282</v>
      </c>
      <c r="F207" t="inlineStr">
        <is>
          <t>ÖREBRO LÄN</t>
        </is>
      </c>
      <c r="G207" t="inlineStr">
        <is>
          <t>HALLSBERG</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49684-2022</t>
        </is>
      </c>
      <c r="B208" t="inlineStr">
        <is>
          <t>avverkningsanmälan</t>
        </is>
      </c>
      <c r="C208" t="inlineStr">
        <is>
          <t>Föryngringsavverkning</t>
        </is>
      </c>
      <c r="D208" s="1" t="n">
        <v>44862</v>
      </c>
      <c r="E208" s="1" t="n">
        <v>46282</v>
      </c>
      <c r="F208" t="inlineStr">
        <is>
          <t>ÖREBRO LÄN</t>
        </is>
      </c>
      <c r="G208" t="inlineStr">
        <is>
          <t>HALLSBERG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40065-2025</t>
        </is>
      </c>
      <c r="B209" t="inlineStr">
        <is>
          <t>avverkningsanmälan</t>
        </is>
      </c>
      <c r="C209" t="inlineStr">
        <is>
          <t>Föryngringsavverkning</t>
        </is>
      </c>
      <c r="D209" s="1" t="n">
        <v>45894</v>
      </c>
      <c r="E209" s="1" t="n">
        <v>46282</v>
      </c>
      <c r="F209" t="inlineStr">
        <is>
          <t>ÖREBRO LÄN</t>
        </is>
      </c>
      <c r="G209" t="inlineStr">
        <is>
          <t>HALLSBERG</t>
        </is>
      </c>
      <c r="H209" t="inlineStr">
        <is>
          <t>Sveaskog</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46863-2024</t>
        </is>
      </c>
      <c r="B210" t="inlineStr">
        <is>
          <t>avverkningsanmälan</t>
        </is>
      </c>
      <c r="C210" t="inlineStr">
        <is>
          <t>Föryngringsavverkning</t>
        </is>
      </c>
      <c r="D210" s="1" t="n">
        <v>45583</v>
      </c>
      <c r="E210" s="1" t="n">
        <v>46282</v>
      </c>
      <c r="F210" t="inlineStr">
        <is>
          <t>ÖREBRO LÄN</t>
        </is>
      </c>
      <c r="G210" t="inlineStr">
        <is>
          <t>HALLSBERG</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14928-2022</t>
        </is>
      </c>
      <c r="B211" t="inlineStr">
        <is>
          <t>avverkningsanmälan</t>
        </is>
      </c>
      <c r="C211" t="inlineStr">
        <is>
          <t>Avverkning för annat ändamål</t>
        </is>
      </c>
      <c r="D211" s="1" t="n">
        <v>44657</v>
      </c>
      <c r="E211" s="1" t="n">
        <v>46282</v>
      </c>
      <c r="F211" t="inlineStr">
        <is>
          <t>ÖREBRO LÄN</t>
        </is>
      </c>
      <c r="G211" t="inlineStr">
        <is>
          <t>HALLSBERG</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50237-2024</t>
        </is>
      </c>
      <c r="B212" t="inlineStr">
        <is>
          <t>avverkningsanmälan</t>
        </is>
      </c>
      <c r="C212" t="inlineStr">
        <is>
          <t>Avverkning för att bevara och utveckla /försöksver</t>
        </is>
      </c>
      <c r="D212" s="1" t="n">
        <v>45600</v>
      </c>
      <c r="E212" s="1" t="n">
        <v>46282</v>
      </c>
      <c r="F212" t="inlineStr">
        <is>
          <t>ÖREBRO LÄN</t>
        </is>
      </c>
      <c r="G212" t="inlineStr">
        <is>
          <t>HALLSBERG</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37321-2025</t>
        </is>
      </c>
      <c r="B213" t="inlineStr">
        <is>
          <t>avverkningsanmälan</t>
        </is>
      </c>
      <c r="C213" t="inlineStr">
        <is>
          <t>Föryngringsavverkning</t>
        </is>
      </c>
      <c r="D213" s="1" t="n">
        <v>45876</v>
      </c>
      <c r="E213" s="1" t="n">
        <v>46282</v>
      </c>
      <c r="F213" t="inlineStr">
        <is>
          <t>ÖREBRO LÄN</t>
        </is>
      </c>
      <c r="G213" t="inlineStr">
        <is>
          <t>HALLSBERG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70160-2021</t>
        </is>
      </c>
      <c r="B214" t="inlineStr">
        <is>
          <t>avverkningsanmälan</t>
        </is>
      </c>
      <c r="C214" t="inlineStr">
        <is>
          <t>Föryngringsavverkning</t>
        </is>
      </c>
      <c r="D214" s="1" t="n">
        <v>44533</v>
      </c>
      <c r="E214" s="1" t="n">
        <v>46282</v>
      </c>
      <c r="F214" t="inlineStr">
        <is>
          <t>ÖREBRO LÄN</t>
        </is>
      </c>
      <c r="G214" t="inlineStr">
        <is>
          <t>HALLSBERG</t>
        </is>
      </c>
      <c r="H214" t="inlineStr">
        <is>
          <t>Allmännings- och besparingsskogar</t>
        </is>
      </c>
      <c r="I214" t="n">
        <v>14.7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51350-2023</t>
        </is>
      </c>
      <c r="B215" t="inlineStr">
        <is>
          <t>avverkningsanmälan</t>
        </is>
      </c>
      <c r="C215" t="inlineStr">
        <is>
          <t>Föryngringsavverkning</t>
        </is>
      </c>
      <c r="D215" s="1" t="n">
        <v>45213</v>
      </c>
      <c r="E215" s="1" t="n">
        <v>46282</v>
      </c>
      <c r="F215" t="inlineStr">
        <is>
          <t>ÖREBRO LÄN</t>
        </is>
      </c>
      <c r="G215" t="inlineStr">
        <is>
          <t>HALLSBERG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61057-2023</t>
        </is>
      </c>
      <c r="B216" t="inlineStr">
        <is>
          <t>avverkningsanmälan</t>
        </is>
      </c>
      <c r="C216" t="inlineStr">
        <is>
          <t>Föryngringsavverkning</t>
        </is>
      </c>
      <c r="D216" s="1" t="n">
        <v>45261</v>
      </c>
      <c r="E216" s="1" t="n">
        <v>46282</v>
      </c>
      <c r="F216" t="inlineStr">
        <is>
          <t>ÖREBRO LÄN</t>
        </is>
      </c>
      <c r="G216" t="inlineStr">
        <is>
          <t>HALLSBERG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61058-2023</t>
        </is>
      </c>
      <c r="B217" t="inlineStr">
        <is>
          <t>avverkningsanmälan</t>
        </is>
      </c>
      <c r="C217" t="inlineStr">
        <is>
          <t>Föryngringsavverkning</t>
        </is>
      </c>
      <c r="D217" s="1" t="n">
        <v>45261</v>
      </c>
      <c r="E217" s="1" t="n">
        <v>46282</v>
      </c>
      <c r="F217" t="inlineStr">
        <is>
          <t>ÖREBRO LÄN</t>
        </is>
      </c>
      <c r="G217" t="inlineStr">
        <is>
          <t>HALLSBERG</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36619-2025</t>
        </is>
      </c>
      <c r="B218" t="inlineStr">
        <is>
          <t>avverkningsanmälan</t>
        </is>
      </c>
      <c r="C218" t="inlineStr">
        <is>
          <t>Föryngringsavverkning</t>
        </is>
      </c>
      <c r="D218" s="1" t="n">
        <v>45870</v>
      </c>
      <c r="E218" s="1" t="n">
        <v>46282</v>
      </c>
      <c r="F218" t="inlineStr">
        <is>
          <t>ÖREBRO LÄN</t>
        </is>
      </c>
      <c r="G218" t="inlineStr">
        <is>
          <t>HALLSBERG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40072-2025</t>
        </is>
      </c>
      <c r="B219" t="inlineStr">
        <is>
          <t>avverkningsanmälan</t>
        </is>
      </c>
      <c r="C219" t="inlineStr">
        <is>
          <t>Föryngringsavverkning</t>
        </is>
      </c>
      <c r="D219" s="1" t="n">
        <v>45894</v>
      </c>
      <c r="E219" s="1" t="n">
        <v>46282</v>
      </c>
      <c r="F219" t="inlineStr">
        <is>
          <t>ÖREBRO LÄN</t>
        </is>
      </c>
      <c r="G219" t="inlineStr">
        <is>
          <t>HALLSBERG</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18893-2024</t>
        </is>
      </c>
      <c r="B220" t="inlineStr">
        <is>
          <t>avverkningsanmälan</t>
        </is>
      </c>
      <c r="C220" t="inlineStr">
        <is>
          <t>Föryngringsavverkning</t>
        </is>
      </c>
      <c r="D220" s="1" t="n">
        <v>45427</v>
      </c>
      <c r="E220" s="1" t="n">
        <v>46282</v>
      </c>
      <c r="F220" t="inlineStr">
        <is>
          <t>ÖREBRO LÄN</t>
        </is>
      </c>
      <c r="G220" t="inlineStr">
        <is>
          <t>HALLSBERG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64172-2023</t>
        </is>
      </c>
      <c r="B221" t="inlineStr">
        <is>
          <t>avverkningsanmälan</t>
        </is>
      </c>
      <c r="C221" t="inlineStr">
        <is>
          <t>Föryngringsavverkning</t>
        </is>
      </c>
      <c r="D221" s="1" t="n">
        <v>45279</v>
      </c>
      <c r="E221" s="1" t="n">
        <v>46282</v>
      </c>
      <c r="F221" t="inlineStr">
        <is>
          <t>ÖREBRO LÄN</t>
        </is>
      </c>
      <c r="G221" t="inlineStr">
        <is>
          <t>HALLSBERG</t>
        </is>
      </c>
      <c r="H221" t="inlineStr">
        <is>
          <t>Övriga Aktiebolag</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24624-2023</t>
        </is>
      </c>
      <c r="B222" t="inlineStr">
        <is>
          <t>avverkningsanmälan</t>
        </is>
      </c>
      <c r="C222" t="inlineStr">
        <is>
          <t>Föryngringsavverkning</t>
        </is>
      </c>
      <c r="D222" s="1" t="n">
        <v>45084</v>
      </c>
      <c r="E222" s="1" t="n">
        <v>46282</v>
      </c>
      <c r="F222" t="inlineStr">
        <is>
          <t>ÖREBRO LÄN</t>
        </is>
      </c>
      <c r="G222" t="inlineStr">
        <is>
          <t>HALLSBERG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14934-2024</t>
        </is>
      </c>
      <c r="B223" t="inlineStr">
        <is>
          <t>avverkningsanmälan</t>
        </is>
      </c>
      <c r="C223" t="inlineStr">
        <is>
          <t>Föryngringsavverkning</t>
        </is>
      </c>
      <c r="D223" s="1" t="n">
        <v>45398</v>
      </c>
      <c r="E223" s="1" t="n">
        <v>46282</v>
      </c>
      <c r="F223" t="inlineStr">
        <is>
          <t>ÖREBRO LÄN</t>
        </is>
      </c>
      <c r="G223" t="inlineStr">
        <is>
          <t>HALLSBERG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52710-2023</t>
        </is>
      </c>
      <c r="B224" t="inlineStr">
        <is>
          <t>avverkningsanmälan</t>
        </is>
      </c>
      <c r="C224" t="inlineStr">
        <is>
          <t>Föryngringsavverkning</t>
        </is>
      </c>
      <c r="D224" s="1" t="n">
        <v>45225</v>
      </c>
      <c r="E224" s="1" t="n">
        <v>46282</v>
      </c>
      <c r="F224" t="inlineStr">
        <is>
          <t>ÖREBRO LÄN</t>
        </is>
      </c>
      <c r="G224" t="inlineStr">
        <is>
          <t>HALLSBERG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31893-2022</t>
        </is>
      </c>
      <c r="B225" t="inlineStr">
        <is>
          <t>avverkningsanmälan</t>
        </is>
      </c>
      <c r="C225" t="inlineStr">
        <is>
          <t>Föryngringsavverkning</t>
        </is>
      </c>
      <c r="D225" s="1" t="n">
        <v>44777</v>
      </c>
      <c r="E225" s="1" t="n">
        <v>46282</v>
      </c>
      <c r="F225" t="inlineStr">
        <is>
          <t>ÖREBRO LÄN</t>
        </is>
      </c>
      <c r="G225" t="inlineStr">
        <is>
          <t>HALLSBERG</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18892-2024</t>
        </is>
      </c>
      <c r="B226" t="inlineStr">
        <is>
          <t>avverkningsanmälan</t>
        </is>
      </c>
      <c r="C226" t="inlineStr">
        <is>
          <t>Föryngringsavverkning</t>
        </is>
      </c>
      <c r="D226" s="1" t="n">
        <v>45427</v>
      </c>
      <c r="E226" s="1" t="n">
        <v>46282</v>
      </c>
      <c r="F226" t="inlineStr">
        <is>
          <t>ÖREBRO LÄN</t>
        </is>
      </c>
      <c r="G226" t="inlineStr">
        <is>
          <t>HALLSBERG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15591-2025</t>
        </is>
      </c>
      <c r="B227" t="inlineStr">
        <is>
          <t>avverkningsanmälan</t>
        </is>
      </c>
      <c r="C227" t="inlineStr">
        <is>
          <t>Föryngringsavverkning</t>
        </is>
      </c>
      <c r="D227" s="1" t="n">
        <v>45747</v>
      </c>
      <c r="E227" s="1" t="n">
        <v>46282</v>
      </c>
      <c r="F227" t="inlineStr">
        <is>
          <t>ÖREBRO LÄN</t>
        </is>
      </c>
      <c r="G227" t="inlineStr">
        <is>
          <t>HALLSBERG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36081-2023</t>
        </is>
      </c>
      <c r="B228" t="inlineStr">
        <is>
          <t>avverkningsanmälan</t>
        </is>
      </c>
      <c r="C228" t="inlineStr">
        <is>
          <t>Föryngringsavverkning</t>
        </is>
      </c>
      <c r="D228" s="1" t="n">
        <v>45149</v>
      </c>
      <c r="E228" s="1" t="n">
        <v>46282</v>
      </c>
      <c r="F228" t="inlineStr">
        <is>
          <t>ÖREBRO LÄN</t>
        </is>
      </c>
      <c r="G228" t="inlineStr">
        <is>
          <t>HALLSBERG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56839-2025</t>
        </is>
      </c>
      <c r="B229" t="inlineStr">
        <is>
          <t>avverkningsanmälan</t>
        </is>
      </c>
      <c r="C229" t="inlineStr">
        <is>
          <t>Föryngringsavverkning</t>
        </is>
      </c>
      <c r="D229" s="1" t="n">
        <v>45978</v>
      </c>
      <c r="E229" s="1" t="n">
        <v>46282</v>
      </c>
      <c r="F229" t="inlineStr">
        <is>
          <t>ÖREBRO LÄN</t>
        </is>
      </c>
      <c r="G229" t="inlineStr">
        <is>
          <t>HALLSBERG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61448-2022</t>
        </is>
      </c>
      <c r="B230" t="inlineStr">
        <is>
          <t>avverkningsanmälan</t>
        </is>
      </c>
      <c r="C230" t="inlineStr">
        <is>
          <t>Avverkning för annat ändamål</t>
        </is>
      </c>
      <c r="D230" s="1" t="n">
        <v>44916</v>
      </c>
      <c r="E230" s="1" t="n">
        <v>46282</v>
      </c>
      <c r="F230" t="inlineStr">
        <is>
          <t>ÖREBRO LÄN</t>
        </is>
      </c>
      <c r="G230" t="inlineStr">
        <is>
          <t>HALLSBERG</t>
        </is>
      </c>
      <c r="H230" t="inlineStr">
        <is>
          <t>Kommuner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41278-2024</t>
        </is>
      </c>
      <c r="B231" t="inlineStr">
        <is>
          <t>avverkningsanmälan</t>
        </is>
      </c>
      <c r="C231" t="inlineStr">
        <is>
          <t>Föryngringsavverkning</t>
        </is>
      </c>
      <c r="D231" s="1" t="n">
        <v>45559</v>
      </c>
      <c r="E231" s="1" t="n">
        <v>46282</v>
      </c>
      <c r="F231" t="inlineStr">
        <is>
          <t>ÖREBRO LÄN</t>
        </is>
      </c>
      <c r="G231" t="inlineStr">
        <is>
          <t>HALLSBERG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59165-2025</t>
        </is>
      </c>
      <c r="B232" t="inlineStr">
        <is>
          <t>avverkningsanmälan</t>
        </is>
      </c>
      <c r="C232" t="inlineStr">
        <is>
          <t>Avverkning för annat ändamål</t>
        </is>
      </c>
      <c r="D232" s="1" t="n">
        <v>45988</v>
      </c>
      <c r="E232" s="1" t="n">
        <v>46282</v>
      </c>
      <c r="F232" t="inlineStr">
        <is>
          <t>ÖREBRO LÄN</t>
        </is>
      </c>
      <c r="G232" t="inlineStr">
        <is>
          <t>HALLSBERG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19849-2022</t>
        </is>
      </c>
      <c r="B233" t="inlineStr">
        <is>
          <t>avverkningsanmälan</t>
        </is>
      </c>
      <c r="C233" t="inlineStr">
        <is>
          <t>Föryngringsavverkning</t>
        </is>
      </c>
      <c r="D233" s="1" t="n">
        <v>44696</v>
      </c>
      <c r="E233" s="1" t="n">
        <v>46282</v>
      </c>
      <c r="F233" t="inlineStr">
        <is>
          <t>ÖREBRO LÄN</t>
        </is>
      </c>
      <c r="G233" t="inlineStr">
        <is>
          <t>HALLSBERG</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8606-2022</t>
        </is>
      </c>
      <c r="B234" t="inlineStr">
        <is>
          <t>avverkningsanmälan</t>
        </is>
      </c>
      <c r="C234" t="inlineStr">
        <is>
          <t>Föryngringsavverkning</t>
        </is>
      </c>
      <c r="D234" s="1" t="n">
        <v>44610</v>
      </c>
      <c r="E234" s="1" t="n">
        <v>46282</v>
      </c>
      <c r="F234" t="inlineStr">
        <is>
          <t>ÖREBRO LÄN</t>
        </is>
      </c>
      <c r="G234" t="inlineStr">
        <is>
          <t>HALLSBERG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24416-2023</t>
        </is>
      </c>
      <c r="B235" t="inlineStr">
        <is>
          <t>avverkningsanmälan</t>
        </is>
      </c>
      <c r="C235" t="inlineStr">
        <is>
          <t>Föryngringsavverkning</t>
        </is>
      </c>
      <c r="D235" s="1" t="n">
        <v>45082</v>
      </c>
      <c r="E235" s="1" t="n">
        <v>46282</v>
      </c>
      <c r="F235" t="inlineStr">
        <is>
          <t>ÖREBRO LÄN</t>
        </is>
      </c>
      <c r="G235" t="inlineStr">
        <is>
          <t>HALLSBERG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46580-2024</t>
        </is>
      </c>
      <c r="B236" t="inlineStr">
        <is>
          <t>avverkningsanmälan</t>
        </is>
      </c>
      <c r="C236" t="inlineStr">
        <is>
          <t>Föryngringsavverkning</t>
        </is>
      </c>
      <c r="D236" s="1" t="n">
        <v>45582</v>
      </c>
      <c r="E236" s="1" t="n">
        <v>46282</v>
      </c>
      <c r="F236" t="inlineStr">
        <is>
          <t>ÖREBRO LÄN</t>
        </is>
      </c>
      <c r="G236" t="inlineStr">
        <is>
          <t>HALLSBERG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27110-2023</t>
        </is>
      </c>
      <c r="B237" t="inlineStr">
        <is>
          <t>avverkningsanmälan</t>
        </is>
      </c>
      <c r="C237" t="inlineStr">
        <is>
          <t>Föryngringsavverkning</t>
        </is>
      </c>
      <c r="D237" s="1" t="n">
        <v>45096</v>
      </c>
      <c r="E237" s="1" t="n">
        <v>46282</v>
      </c>
      <c r="F237" t="inlineStr">
        <is>
          <t>ÖREBRO LÄN</t>
        </is>
      </c>
      <c r="G237" t="inlineStr">
        <is>
          <t>HALLSBERG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6763-2024</t>
        </is>
      </c>
      <c r="B238" t="inlineStr">
        <is>
          <t>avverkningsanmälan</t>
        </is>
      </c>
      <c r="C238" t="inlineStr">
        <is>
          <t>Föryngringsavverkning</t>
        </is>
      </c>
      <c r="D238" s="1" t="n">
        <v>45342</v>
      </c>
      <c r="E238" s="1" t="n">
        <v>46282</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53012-2023</t>
        </is>
      </c>
      <c r="B239" t="inlineStr">
        <is>
          <t>avverkningsanmälan</t>
        </is>
      </c>
      <c r="C239" t="inlineStr">
        <is>
          <t>Avverkning för att bevara och utveckla /försöksver</t>
        </is>
      </c>
      <c r="D239" s="1" t="n">
        <v>45226</v>
      </c>
      <c r="E239" s="1" t="n">
        <v>46282</v>
      </c>
      <c r="F239" t="inlineStr">
        <is>
          <t>ÖREBRO LÄN</t>
        </is>
      </c>
      <c r="G239" t="inlineStr">
        <is>
          <t>HALLSBERG</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46835-2024</t>
        </is>
      </c>
      <c r="B240" t="inlineStr">
        <is>
          <t>avverkningsanmälan</t>
        </is>
      </c>
      <c r="C240" t="inlineStr">
        <is>
          <t>Föryngringsavverkning</t>
        </is>
      </c>
      <c r="D240" s="1" t="n">
        <v>45583</v>
      </c>
      <c r="E240" s="1" t="n">
        <v>46282</v>
      </c>
      <c r="F240" t="inlineStr">
        <is>
          <t>ÖREBRO LÄN</t>
        </is>
      </c>
      <c r="G240" t="inlineStr">
        <is>
          <t>HALLSBERG</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25119-2026</t>
        </is>
      </c>
      <c r="B241" t="inlineStr">
        <is>
          <t>avverkningsanmälan</t>
        </is>
      </c>
      <c r="C241" t="inlineStr">
        <is>
          <t>Föryngringsavverkning</t>
        </is>
      </c>
      <c r="D241" s="1" t="n">
        <v>46175</v>
      </c>
      <c r="E241" s="1" t="n">
        <v>46282</v>
      </c>
      <c r="F241" t="inlineStr">
        <is>
          <t>ÖREBRO LÄN</t>
        </is>
      </c>
      <c r="G241" t="inlineStr">
        <is>
          <t>HALLSBERG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51479-2022</t>
        </is>
      </c>
      <c r="B242" t="inlineStr">
        <is>
          <t>avverkningsanmälan</t>
        </is>
      </c>
      <c r="C242" t="inlineStr">
        <is>
          <t>Föryngringsavverkning</t>
        </is>
      </c>
      <c r="D242" s="1" t="n">
        <v>44869</v>
      </c>
      <c r="E242" s="1" t="n">
        <v>46282</v>
      </c>
      <c r="F242" t="inlineStr">
        <is>
          <t>ÖREBRO LÄN</t>
        </is>
      </c>
      <c r="G242" t="inlineStr">
        <is>
          <t>HALLSBERG</t>
        </is>
      </c>
      <c r="H242" t="inlineStr">
        <is>
          <t>Övriga Aktiebolag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38831-2022</t>
        </is>
      </c>
      <c r="B243" t="inlineStr">
        <is>
          <t>avverkningsanmälan</t>
        </is>
      </c>
      <c r="C243" t="inlineStr">
        <is>
          <t>Föryngringsavverkning</t>
        </is>
      </c>
      <c r="D243" s="1" t="n">
        <v>44814</v>
      </c>
      <c r="E243" s="1" t="n">
        <v>46282</v>
      </c>
      <c r="F243" t="inlineStr">
        <is>
          <t>ÖREBRO LÄN</t>
        </is>
      </c>
      <c r="G243" t="inlineStr">
        <is>
          <t>HALLSBERG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16085-2022</t>
        </is>
      </c>
      <c r="B244" t="inlineStr">
        <is>
          <t>avverkningsanmälan</t>
        </is>
      </c>
      <c r="C244" t="inlineStr">
        <is>
          <t>Föryngringsavverkning</t>
        </is>
      </c>
      <c r="D244" s="1" t="n">
        <v>44665</v>
      </c>
      <c r="E244" s="1" t="n">
        <v>46282</v>
      </c>
      <c r="F244" t="inlineStr">
        <is>
          <t>ÖREBRO LÄN</t>
        </is>
      </c>
      <c r="G244" t="inlineStr">
        <is>
          <t>HALLSBERG</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26301-2026</t>
        </is>
      </c>
      <c r="B245" t="inlineStr">
        <is>
          <t>avverkningsanmälan</t>
        </is>
      </c>
      <c r="C245" t="inlineStr">
        <is>
          <t>Föryngringsavverkning</t>
        </is>
      </c>
      <c r="D245" s="1" t="n">
        <v>46182</v>
      </c>
      <c r="E245" s="1" t="n">
        <v>46282</v>
      </c>
      <c r="F245" t="inlineStr">
        <is>
          <t>ÖREBRO LÄN</t>
        </is>
      </c>
      <c r="G245" t="inlineStr">
        <is>
          <t>HALLSBERG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26294-2026</t>
        </is>
      </c>
      <c r="B246" t="inlineStr">
        <is>
          <t>avverkningsanmälan</t>
        </is>
      </c>
      <c r="C246" t="inlineStr">
        <is>
          <t>Föryngringsavverkning</t>
        </is>
      </c>
      <c r="D246" s="1" t="n">
        <v>46182</v>
      </c>
      <c r="E246" s="1" t="n">
        <v>46282</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29859-2022</t>
        </is>
      </c>
      <c r="B247" t="inlineStr">
        <is>
          <t>avverkningsanmälan</t>
        </is>
      </c>
      <c r="C247" t="inlineStr">
        <is>
          <t>Föryngringsavverkning</t>
        </is>
      </c>
      <c r="D247" s="1" t="n">
        <v>44756</v>
      </c>
      <c r="E247" s="1" t="n">
        <v>46282</v>
      </c>
      <c r="F247" t="inlineStr">
        <is>
          <t>ÖREBRO LÄN</t>
        </is>
      </c>
      <c r="G247" t="inlineStr">
        <is>
          <t>HALLSBERG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33097-2023</t>
        </is>
      </c>
      <c r="B248" t="inlineStr">
        <is>
          <t>avverkningsanmälan</t>
        </is>
      </c>
      <c r="C248" t="inlineStr">
        <is>
          <t>Avverkning för att bevara och utveckla /försöksver</t>
        </is>
      </c>
      <c r="D248" s="1" t="n">
        <v>45126</v>
      </c>
      <c r="E248" s="1" t="n">
        <v>46282</v>
      </c>
      <c r="F248" t="inlineStr">
        <is>
          <t>ÖREBRO LÄN</t>
        </is>
      </c>
      <c r="G248" t="inlineStr">
        <is>
          <t>HALLSBERG</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7784-2024</t>
        </is>
      </c>
      <c r="B249" t="inlineStr">
        <is>
          <t>avverkningsanmälan</t>
        </is>
      </c>
      <c r="C249" t="inlineStr">
        <is>
          <t>Föryngringsavverkning</t>
        </is>
      </c>
      <c r="D249" s="1" t="n">
        <v>45349</v>
      </c>
      <c r="E249" s="1" t="n">
        <v>46282</v>
      </c>
      <c r="F249" t="inlineStr">
        <is>
          <t>ÖREBRO LÄN</t>
        </is>
      </c>
      <c r="G249" t="inlineStr">
        <is>
          <t>HALLSBERG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7788-2024</t>
        </is>
      </c>
      <c r="B250" t="inlineStr">
        <is>
          <t>avverkningsanmälan</t>
        </is>
      </c>
      <c r="C250" t="inlineStr">
        <is>
          <t>Föryngringsavverkning</t>
        </is>
      </c>
      <c r="D250" s="1" t="n">
        <v>45349</v>
      </c>
      <c r="E250" s="1" t="n">
        <v>46282</v>
      </c>
      <c r="F250" t="inlineStr">
        <is>
          <t>ÖREBRO LÄN</t>
        </is>
      </c>
      <c r="G250" t="inlineStr">
        <is>
          <t>HALLSBERG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28537-2024</t>
        </is>
      </c>
      <c r="B251" t="inlineStr">
        <is>
          <t>avverkningsanmälan</t>
        </is>
      </c>
      <c r="C251" t="inlineStr">
        <is>
          <t>Avverkning för att bevara och utveckla /försöksver</t>
        </is>
      </c>
      <c r="D251" s="1" t="n">
        <v>45478</v>
      </c>
      <c r="E251" s="1" t="n">
        <v>46282</v>
      </c>
      <c r="F251" t="inlineStr">
        <is>
          <t>ÖREBRO LÄN</t>
        </is>
      </c>
      <c r="G251" t="inlineStr">
        <is>
          <t>HALLSBERG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28540-2024</t>
        </is>
      </c>
      <c r="B252" t="inlineStr">
        <is>
          <t>avverkningsanmälan</t>
        </is>
      </c>
      <c r="C252" t="inlineStr">
        <is>
          <t>Avverkning för att bevara och utveckla /försöksver</t>
        </is>
      </c>
      <c r="D252" s="1" t="n">
        <v>45478</v>
      </c>
      <c r="E252" s="1" t="n">
        <v>46282</v>
      </c>
      <c r="F252" t="inlineStr">
        <is>
          <t>ÖREBRO LÄN</t>
        </is>
      </c>
      <c r="G252" t="inlineStr">
        <is>
          <t>HALLSBERG</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54679-2023</t>
        </is>
      </c>
      <c r="B253" t="inlineStr">
        <is>
          <t>avverkningsanmälan</t>
        </is>
      </c>
      <c r="C253" t="inlineStr">
        <is>
          <t>Föryngringsavverkning</t>
        </is>
      </c>
      <c r="D253" s="1" t="n">
        <v>45235</v>
      </c>
      <c r="E253" s="1" t="n">
        <v>46282</v>
      </c>
      <c r="F253" t="inlineStr">
        <is>
          <t>ÖREBRO LÄN</t>
        </is>
      </c>
      <c r="G253" t="inlineStr">
        <is>
          <t>HALLSBERG</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45852-2023</t>
        </is>
      </c>
      <c r="B254" t="inlineStr">
        <is>
          <t>avverkningsanmälan</t>
        </is>
      </c>
      <c r="C254" t="inlineStr">
        <is>
          <t>Föryngringsavverkning</t>
        </is>
      </c>
      <c r="D254" s="1" t="n">
        <v>45195</v>
      </c>
      <c r="E254" s="1" t="n">
        <v>46282</v>
      </c>
      <c r="F254" t="inlineStr">
        <is>
          <t>ÖREBRO LÄN</t>
        </is>
      </c>
      <c r="G254" t="inlineStr">
        <is>
          <t>HALLSBERG</t>
        </is>
      </c>
      <c r="H254" t="inlineStr">
        <is>
          <t>Allmännings- och besparingsskogar</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52707-2023</t>
        </is>
      </c>
      <c r="B255" t="inlineStr">
        <is>
          <t>avverkningsanmälan</t>
        </is>
      </c>
      <c r="C255" t="inlineStr">
        <is>
          <t>Föryngringsavverkning</t>
        </is>
      </c>
      <c r="D255" s="1" t="n">
        <v>45225</v>
      </c>
      <c r="E255" s="1" t="n">
        <v>46282</v>
      </c>
      <c r="F255" t="inlineStr">
        <is>
          <t>ÖREBRO LÄN</t>
        </is>
      </c>
      <c r="G255" t="inlineStr">
        <is>
          <t>HALLSBERG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27614-2026</t>
        </is>
      </c>
      <c r="B256" t="inlineStr">
        <is>
          <t>avverkningsanmälan</t>
        </is>
      </c>
      <c r="C256" t="inlineStr">
        <is>
          <t>Föryngringsavverkning</t>
        </is>
      </c>
      <c r="D256" s="1" t="n">
        <v>46190</v>
      </c>
      <c r="E256" s="1" t="n">
        <v>46282</v>
      </c>
      <c r="F256" t="inlineStr">
        <is>
          <t>ÖREBRO LÄN</t>
        </is>
      </c>
      <c r="G256" t="inlineStr">
        <is>
          <t>HALLSBERG</t>
        </is>
      </c>
      <c r="H256" t="inlineStr">
        <is>
          <t>Allmännings- och besparingsskogar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46862-2024</t>
        </is>
      </c>
      <c r="B257" t="inlineStr">
        <is>
          <t>avverkningsanmälan</t>
        </is>
      </c>
      <c r="C257" t="inlineStr">
        <is>
          <t>Föryngringsavverkning</t>
        </is>
      </c>
      <c r="D257" s="1" t="n">
        <v>45583</v>
      </c>
      <c r="E257" s="1" t="n">
        <v>46282</v>
      </c>
      <c r="F257" t="inlineStr">
        <is>
          <t>ÖREBRO LÄN</t>
        </is>
      </c>
      <c r="G257" t="inlineStr">
        <is>
          <t>HALLSBERG</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24629-2023</t>
        </is>
      </c>
      <c r="B258" t="inlineStr">
        <is>
          <t>avverkningsanmälan</t>
        </is>
      </c>
      <c r="C258" t="inlineStr">
        <is>
          <t>Föryngringsavverkning</t>
        </is>
      </c>
      <c r="D258" s="1" t="n">
        <v>45084</v>
      </c>
      <c r="E258" s="1" t="n">
        <v>46282</v>
      </c>
      <c r="F258" t="inlineStr">
        <is>
          <t>ÖREBRO LÄN</t>
        </is>
      </c>
      <c r="G258" t="inlineStr">
        <is>
          <t>HALLSBERG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3799-2024</t>
        </is>
      </c>
      <c r="B259" t="inlineStr">
        <is>
          <t>avverkningsanmälan</t>
        </is>
      </c>
      <c r="C259" t="inlineStr">
        <is>
          <t>Föryngringsavverkning</t>
        </is>
      </c>
      <c r="D259" s="1" t="n">
        <v>45321</v>
      </c>
      <c r="E259" s="1" t="n">
        <v>46282</v>
      </c>
      <c r="F259" t="inlineStr">
        <is>
          <t>ÖREBRO LÄN</t>
        </is>
      </c>
      <c r="G259" t="inlineStr">
        <is>
          <t>HALLSBERG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32790-2026</t>
        </is>
      </c>
      <c r="B260" t="inlineStr">
        <is>
          <t>avverkningsanmälan</t>
        </is>
      </c>
      <c r="C260" t="inlineStr">
        <is>
          <t>Föryngringsavverkning</t>
        </is>
      </c>
      <c r="D260" s="1" t="n">
        <v>46241</v>
      </c>
      <c r="E260" s="1" t="n">
        <v>46282</v>
      </c>
      <c r="F260" t="inlineStr">
        <is>
          <t>ÖREBRO LÄN</t>
        </is>
      </c>
      <c r="G260" t="inlineStr">
        <is>
          <t>HALLSBERG</t>
        </is>
      </c>
      <c r="H260" t="inlineStr">
        <is>
          <t>Sveaskog</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29326-2026</t>
        </is>
      </c>
      <c r="B261" t="inlineStr">
        <is>
          <t>avverkningsanmälan</t>
        </is>
      </c>
      <c r="C261" t="inlineStr">
        <is>
          <t>Föryngringsavverkning</t>
        </is>
      </c>
      <c r="D261" s="1" t="n">
        <v>46202</v>
      </c>
      <c r="E261" s="1" t="n">
        <v>46282</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28945-2026</t>
        </is>
      </c>
      <c r="B262" t="inlineStr">
        <is>
          <t>avverkningsanmälan</t>
        </is>
      </c>
      <c r="C262" t="inlineStr">
        <is>
          <t>Föryngringsavverkning</t>
        </is>
      </c>
      <c r="D262" s="1" t="n">
        <v>46199</v>
      </c>
      <c r="E262" s="1" t="n">
        <v>46282</v>
      </c>
      <c r="F262" t="inlineStr">
        <is>
          <t>ÖREBRO LÄN</t>
        </is>
      </c>
      <c r="G262" t="inlineStr">
        <is>
          <t>HALLSBERG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28963-2026</t>
        </is>
      </c>
      <c r="B263" t="inlineStr">
        <is>
          <t>avverkningsanmälan</t>
        </is>
      </c>
      <c r="C263" t="inlineStr">
        <is>
          <t>Föryngringsavverkning</t>
        </is>
      </c>
      <c r="D263" s="1" t="n">
        <v>46199</v>
      </c>
      <c r="E263" s="1" t="n">
        <v>46282</v>
      </c>
      <c r="F263" t="inlineStr">
        <is>
          <t>ÖREBRO LÄN</t>
        </is>
      </c>
      <c r="G263" t="inlineStr">
        <is>
          <t>HALLSBERG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28903-2026</t>
        </is>
      </c>
      <c r="B264" t="inlineStr">
        <is>
          <t>avverkningsanmälan</t>
        </is>
      </c>
      <c r="C264" t="inlineStr">
        <is>
          <t>Föryngringsavverkning</t>
        </is>
      </c>
      <c r="D264" s="1" t="n">
        <v>46199</v>
      </c>
      <c r="E264" s="1" t="n">
        <v>46282</v>
      </c>
      <c r="F264" t="inlineStr">
        <is>
          <t>ÖREBRO LÄN</t>
        </is>
      </c>
      <c r="G264" t="inlineStr">
        <is>
          <t>HALLSBERG</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28913-2026</t>
        </is>
      </c>
      <c r="B265" t="inlineStr">
        <is>
          <t>avverkningsanmälan</t>
        </is>
      </c>
      <c r="C265" t="inlineStr">
        <is>
          <t>Föryngringsavverkning</t>
        </is>
      </c>
      <c r="D265" s="1" t="n">
        <v>46199</v>
      </c>
      <c r="E265" s="1" t="n">
        <v>46282</v>
      </c>
      <c r="F265" t="inlineStr">
        <is>
          <t>ÖREBRO LÄN</t>
        </is>
      </c>
      <c r="G265" t="inlineStr">
        <is>
          <t>HALLSBERG</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28928-2026</t>
        </is>
      </c>
      <c r="B266" t="inlineStr">
        <is>
          <t>avverkningsanmälan</t>
        </is>
      </c>
      <c r="C266" t="inlineStr">
        <is>
          <t>Föryngringsavverkning</t>
        </is>
      </c>
      <c r="D266" s="1" t="n">
        <v>46199</v>
      </c>
      <c r="E266" s="1" t="n">
        <v>46282</v>
      </c>
      <c r="F266" t="inlineStr">
        <is>
          <t>ÖREBRO LÄN</t>
        </is>
      </c>
      <c r="G266" t="inlineStr">
        <is>
          <t>HALLSBERG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28941-2026</t>
        </is>
      </c>
      <c r="B267" t="inlineStr">
        <is>
          <t>avverkningsanmälan</t>
        </is>
      </c>
      <c r="C267" t="inlineStr">
        <is>
          <t>Föryngringsavverkning</t>
        </is>
      </c>
      <c r="D267" s="1" t="n">
        <v>46199</v>
      </c>
      <c r="E267" s="1" t="n">
        <v>46282</v>
      </c>
      <c r="F267" t="inlineStr">
        <is>
          <t>ÖREBRO LÄN</t>
        </is>
      </c>
      <c r="G267" t="inlineStr">
        <is>
          <t>HALLSBERG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28956-2026</t>
        </is>
      </c>
      <c r="B268" t="inlineStr">
        <is>
          <t>avverkningsanmälan</t>
        </is>
      </c>
      <c r="C268" t="inlineStr">
        <is>
          <t>Föryngringsavverkning</t>
        </is>
      </c>
      <c r="D268" s="1" t="n">
        <v>46199</v>
      </c>
      <c r="E268" s="1" t="n">
        <v>46282</v>
      </c>
      <c r="F268" t="inlineStr">
        <is>
          <t>ÖREBRO LÄN</t>
        </is>
      </c>
      <c r="G268" t="inlineStr">
        <is>
          <t>HALLSBERG</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33033-2026</t>
        </is>
      </c>
      <c r="B269" t="inlineStr">
        <is>
          <t>avverkningsanmälan</t>
        </is>
      </c>
      <c r="C269" t="inlineStr">
        <is>
          <t>Föryngringsavverkning</t>
        </is>
      </c>
      <c r="D269" s="1" t="n">
        <v>46244</v>
      </c>
      <c r="E269" s="1" t="n">
        <v>46282</v>
      </c>
      <c r="F269" t="inlineStr">
        <is>
          <t>ÖREBRO LÄN</t>
        </is>
      </c>
      <c r="G269" t="inlineStr">
        <is>
          <t>HALLSBERG</t>
        </is>
      </c>
      <c r="H269" t="inlineStr">
        <is>
          <t>Övriga Aktiebolag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33034-2026</t>
        </is>
      </c>
      <c r="B270" t="inlineStr">
        <is>
          <t>avverkningsanmälan</t>
        </is>
      </c>
      <c r="C270" t="inlineStr">
        <is>
          <t>Föryngringsavverkning</t>
        </is>
      </c>
      <c r="D270" s="1" t="n">
        <v>46244</v>
      </c>
      <c r="E270" s="1" t="n">
        <v>46282</v>
      </c>
      <c r="F270" t="inlineStr">
        <is>
          <t>ÖREBRO LÄN</t>
        </is>
      </c>
      <c r="G270" t="inlineStr">
        <is>
          <t>HALLSBERG</t>
        </is>
      </c>
      <c r="H270" t="inlineStr">
        <is>
          <t>Övriga Aktiebolag</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14676-2024</t>
        </is>
      </c>
      <c r="B271" t="inlineStr">
        <is>
          <t>avverkningsanmälan</t>
        </is>
      </c>
      <c r="C271" t="inlineStr">
        <is>
          <t>Föryngringsavverkning</t>
        </is>
      </c>
      <c r="D271" s="1" t="n">
        <v>45397</v>
      </c>
      <c r="E271" s="1" t="n">
        <v>46282</v>
      </c>
      <c r="F271" t="inlineStr">
        <is>
          <t>ÖREBRO LÄN</t>
        </is>
      </c>
      <c r="G271" t="inlineStr">
        <is>
          <t>HALLSBERG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28932-2026</t>
        </is>
      </c>
      <c r="B272" t="inlineStr">
        <is>
          <t>avverkningsanmälan</t>
        </is>
      </c>
      <c r="C272" t="inlineStr">
        <is>
          <t>Föryngringsavverkning</t>
        </is>
      </c>
      <c r="D272" s="1" t="n">
        <v>46199</v>
      </c>
      <c r="E272" s="1" t="n">
        <v>46282</v>
      </c>
      <c r="F272" t="inlineStr">
        <is>
          <t>ÖREBRO LÄN</t>
        </is>
      </c>
      <c r="G272" t="inlineStr">
        <is>
          <t>HALLSBERG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29718-2026</t>
        </is>
      </c>
      <c r="B273" t="inlineStr">
        <is>
          <t>avverkningsanmälan</t>
        </is>
      </c>
      <c r="C273" t="inlineStr">
        <is>
          <t>Föryngringsavverkning</t>
        </is>
      </c>
      <c r="D273" s="1" t="n">
        <v>46204</v>
      </c>
      <c r="E273" s="1" t="n">
        <v>46282</v>
      </c>
      <c r="F273" t="inlineStr">
        <is>
          <t>ÖREBRO LÄN</t>
        </is>
      </c>
      <c r="G273" t="inlineStr">
        <is>
          <t>HALLSBERG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33282-2026</t>
        </is>
      </c>
      <c r="B274" t="inlineStr">
        <is>
          <t>avverkningsanmälan</t>
        </is>
      </c>
      <c r="C274" t="inlineStr">
        <is>
          <t>Föryngringsavverkning</t>
        </is>
      </c>
      <c r="D274" s="1" t="n">
        <v>46246</v>
      </c>
      <c r="E274" s="1" t="n">
        <v>46282</v>
      </c>
      <c r="F274" t="inlineStr">
        <is>
          <t>ÖREBRO LÄN</t>
        </is>
      </c>
      <c r="G274" t="inlineStr">
        <is>
          <t>HALLSBERG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33184-2026</t>
        </is>
      </c>
      <c r="B275" t="inlineStr">
        <is>
          <t>avverkningsanmälan</t>
        </is>
      </c>
      <c r="C275" t="inlineStr">
        <is>
          <t>Föryngringsavverkning</t>
        </is>
      </c>
      <c r="D275" s="1" t="n">
        <v>46246</v>
      </c>
      <c r="E275" s="1" t="n">
        <v>46282</v>
      </c>
      <c r="F275" t="inlineStr">
        <is>
          <t>ÖREBRO LÄN</t>
        </is>
      </c>
      <c r="G275" t="inlineStr">
        <is>
          <t>HALLSBERG</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33185-2026</t>
        </is>
      </c>
      <c r="B276" t="inlineStr">
        <is>
          <t>avverkningsanmälan</t>
        </is>
      </c>
      <c r="C276" t="inlineStr">
        <is>
          <t>Föryngringsavverkning</t>
        </is>
      </c>
      <c r="D276" s="1" t="n">
        <v>46246</v>
      </c>
      <c r="E276" s="1" t="n">
        <v>46282</v>
      </c>
      <c r="F276" t="inlineStr">
        <is>
          <t>ÖREBRO LÄN</t>
        </is>
      </c>
      <c r="G276" t="inlineStr">
        <is>
          <t>HALLSBERG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29729-2026</t>
        </is>
      </c>
      <c r="B277" t="inlineStr">
        <is>
          <t>avverkningsanmälan</t>
        </is>
      </c>
      <c r="C277" t="inlineStr">
        <is>
          <t>Föryngringsavverkning</t>
        </is>
      </c>
      <c r="D277" s="1" t="n">
        <v>46204</v>
      </c>
      <c r="E277" s="1" t="n">
        <v>46282</v>
      </c>
      <c r="F277" t="inlineStr">
        <is>
          <t>ÖREBRO LÄN</t>
        </is>
      </c>
      <c r="G277" t="inlineStr">
        <is>
          <t>HALLSBERG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33329-2026</t>
        </is>
      </c>
      <c r="B278" t="inlineStr">
        <is>
          <t>avverkningsanmälan</t>
        </is>
      </c>
      <c r="C278" t="inlineStr">
        <is>
          <t>Föryngringsavverkning</t>
        </is>
      </c>
      <c r="D278" s="1" t="n">
        <v>46246</v>
      </c>
      <c r="E278" s="1" t="n">
        <v>46282</v>
      </c>
      <c r="F278" t="inlineStr">
        <is>
          <t>ÖREBRO LÄN</t>
        </is>
      </c>
      <c r="G278" t="inlineStr">
        <is>
          <t>HALLSBERG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33281-2026</t>
        </is>
      </c>
      <c r="B279" t="inlineStr">
        <is>
          <t>avverkningsanmälan</t>
        </is>
      </c>
      <c r="C279" t="inlineStr">
        <is>
          <t>Föryngringsavverkning</t>
        </is>
      </c>
      <c r="D279" s="1" t="n">
        <v>46246</v>
      </c>
      <c r="E279" s="1" t="n">
        <v>46282</v>
      </c>
      <c r="F279" t="inlineStr">
        <is>
          <t>ÖREBRO LÄN</t>
        </is>
      </c>
      <c r="G279" t="inlineStr">
        <is>
          <t>HALLSBERG</t>
        </is>
      </c>
      <c r="I279" t="n">
        <v>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33529-2026</t>
        </is>
      </c>
      <c r="B280" t="inlineStr">
        <is>
          <t>avverkningsanmälan</t>
        </is>
      </c>
      <c r="C280" t="inlineStr">
        <is>
          <t>Föryngringsavverkning</t>
        </is>
      </c>
      <c r="D280" s="1" t="n">
        <v>46248</v>
      </c>
      <c r="E280" s="1" t="n">
        <v>46282</v>
      </c>
      <c r="F280" t="inlineStr">
        <is>
          <t>ÖREBRO LÄN</t>
        </is>
      </c>
      <c r="G280" t="inlineStr">
        <is>
          <t>HALLSBERG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29916-2026</t>
        </is>
      </c>
      <c r="B281" t="inlineStr">
        <is>
          <t>avverkningsanmälan</t>
        </is>
      </c>
      <c r="C281" t="inlineStr">
        <is>
          <t>Föryngringsavverkning</t>
        </is>
      </c>
      <c r="D281" s="1" t="n">
        <v>46205</v>
      </c>
      <c r="E281" s="1" t="n">
        <v>46282</v>
      </c>
      <c r="F281" t="inlineStr">
        <is>
          <t>ÖREBRO LÄN</t>
        </is>
      </c>
      <c r="G281" t="inlineStr">
        <is>
          <t>HALLSBERG</t>
        </is>
      </c>
      <c r="I281" t="n">
        <v>8.699999999999999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13468-2024</t>
        </is>
      </c>
      <c r="B282" t="inlineStr">
        <is>
          <t>avverkningsanmälan</t>
        </is>
      </c>
      <c r="C282" t="inlineStr">
        <is>
          <t>Föryngringsavverkning</t>
        </is>
      </c>
      <c r="D282" s="1" t="n">
        <v>45387</v>
      </c>
      <c r="E282" s="1" t="n">
        <v>46282</v>
      </c>
      <c r="F282" t="inlineStr">
        <is>
          <t>ÖREBRO LÄN</t>
        </is>
      </c>
      <c r="G282" t="inlineStr">
        <is>
          <t>HALLSBERG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33534-2026</t>
        </is>
      </c>
      <c r="B283" t="inlineStr">
        <is>
          <t>avverkningsanmälan</t>
        </is>
      </c>
      <c r="C283" t="inlineStr">
        <is>
          <t>Föryngringsavverkning</t>
        </is>
      </c>
      <c r="D283" s="1" t="n">
        <v>46248</v>
      </c>
      <c r="E283" s="1" t="n">
        <v>46282</v>
      </c>
      <c r="F283" t="inlineStr">
        <is>
          <t>ÖREBRO LÄN</t>
        </is>
      </c>
      <c r="G283" t="inlineStr">
        <is>
          <t>HALLSBERG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9569-2023</t>
        </is>
      </c>
      <c r="B284" t="inlineStr">
        <is>
          <t>avverkningsanmälan</t>
        </is>
      </c>
      <c r="C284" t="inlineStr">
        <is>
          <t>Föryngringsavverkning</t>
        </is>
      </c>
      <c r="D284" s="1" t="n">
        <v>44982</v>
      </c>
      <c r="E284" s="1" t="n">
        <v>46282</v>
      </c>
      <c r="F284" t="inlineStr">
        <is>
          <t>ÖREBRO LÄN</t>
        </is>
      </c>
      <c r="G284" t="inlineStr">
        <is>
          <t>HALLSBERG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29908-2024</t>
        </is>
      </c>
      <c r="B285" t="inlineStr">
        <is>
          <t>avverkningsanmälan</t>
        </is>
      </c>
      <c r="C285" t="inlineStr">
        <is>
          <t>Föryngringsavverkning</t>
        </is>
      </c>
      <c r="D285" s="1" t="n">
        <v>45487</v>
      </c>
      <c r="E285" s="1" t="n">
        <v>46282</v>
      </c>
      <c r="F285" t="inlineStr">
        <is>
          <t>ÖREBRO LÄN</t>
        </is>
      </c>
      <c r="G285" t="inlineStr">
        <is>
          <t>HALLSBERG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1413-2025</t>
        </is>
      </c>
      <c r="B286" t="inlineStr">
        <is>
          <t>avverkningsanmälan</t>
        </is>
      </c>
      <c r="C286" t="inlineStr">
        <is>
          <t>Föryngringsavverkning</t>
        </is>
      </c>
      <c r="D286" s="1" t="n">
        <v>45668</v>
      </c>
      <c r="E286" s="1" t="n">
        <v>46282</v>
      </c>
      <c r="F286" t="inlineStr">
        <is>
          <t>ÖREBRO LÄN</t>
        </is>
      </c>
      <c r="G286" t="inlineStr">
        <is>
          <t>HALLSBERG</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12053-2022</t>
        </is>
      </c>
      <c r="B287" t="inlineStr">
        <is>
          <t>avverkningsanmälan</t>
        </is>
      </c>
      <c r="C287" t="inlineStr">
        <is>
          <t>Föryngringsavverkning</t>
        </is>
      </c>
      <c r="D287" s="1" t="n">
        <v>44636</v>
      </c>
      <c r="E287" s="1" t="n">
        <v>46282</v>
      </c>
      <c r="F287" t="inlineStr">
        <is>
          <t>ÖREBRO LÄN</t>
        </is>
      </c>
      <c r="G287" t="inlineStr">
        <is>
          <t>HALLSBERG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19751-2024</t>
        </is>
      </c>
      <c r="B288" t="inlineStr">
        <is>
          <t>avverkningsanmälan</t>
        </is>
      </c>
      <c r="C288" t="inlineStr">
        <is>
          <t>Avverkning för att bevara och utveckla /försöksver</t>
        </is>
      </c>
      <c r="D288" s="1" t="n">
        <v>45432</v>
      </c>
      <c r="E288" s="1" t="n">
        <v>46282</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44210-2022</t>
        </is>
      </c>
      <c r="B289" t="inlineStr">
        <is>
          <t>avverkningsanmälan</t>
        </is>
      </c>
      <c r="C289" t="inlineStr">
        <is>
          <t>Föryngringsavverkning</t>
        </is>
      </c>
      <c r="D289" s="1" t="n">
        <v>44839</v>
      </c>
      <c r="E289" s="1" t="n">
        <v>46282</v>
      </c>
      <c r="F289" t="inlineStr">
        <is>
          <t>ÖREBRO LÄN</t>
        </is>
      </c>
      <c r="G289" t="inlineStr">
        <is>
          <t>HALLSBERG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31094-2024</t>
        </is>
      </c>
      <c r="B290" t="inlineStr">
        <is>
          <t>avverkningsanmälan</t>
        </is>
      </c>
      <c r="C290" t="inlineStr">
        <is>
          <t>Avverkning för annat ändamål</t>
        </is>
      </c>
      <c r="D290" s="1" t="n">
        <v>45502</v>
      </c>
      <c r="E290" s="1" t="n">
        <v>46282</v>
      </c>
      <c r="F290" t="inlineStr">
        <is>
          <t>ÖREBRO LÄN</t>
        </is>
      </c>
      <c r="G290" t="inlineStr">
        <is>
          <t>HALLSBERG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31081-2026</t>
        </is>
      </c>
      <c r="B291" t="inlineStr">
        <is>
          <t>avverkningsanmälan</t>
        </is>
      </c>
      <c r="C291" t="inlineStr">
        <is>
          <t>Föryngringsavverkning</t>
        </is>
      </c>
      <c r="D291" s="1" t="n">
        <v>46216</v>
      </c>
      <c r="E291" s="1" t="n">
        <v>46282</v>
      </c>
      <c r="F291" t="inlineStr">
        <is>
          <t>ÖREBRO LÄN</t>
        </is>
      </c>
      <c r="G291" t="inlineStr">
        <is>
          <t>HALLSBERG</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31079-2026</t>
        </is>
      </c>
      <c r="B292" t="inlineStr">
        <is>
          <t>avverkningsanmälan</t>
        </is>
      </c>
      <c r="C292" t="inlineStr">
        <is>
          <t>Föryngringsavverkning</t>
        </is>
      </c>
      <c r="D292" s="1" t="n">
        <v>46216</v>
      </c>
      <c r="E292" s="1" t="n">
        <v>46282</v>
      </c>
      <c r="F292" t="inlineStr">
        <is>
          <t>ÖREBRO LÄN</t>
        </is>
      </c>
      <c r="G292" t="inlineStr">
        <is>
          <t>HALLSBERG</t>
        </is>
      </c>
      <c r="H292" t="inlineStr">
        <is>
          <t>Sveaskog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31082-2026</t>
        </is>
      </c>
      <c r="B293" t="inlineStr">
        <is>
          <t>avverkningsanmälan</t>
        </is>
      </c>
      <c r="C293" t="inlineStr">
        <is>
          <t>Föryngringsavverkning</t>
        </is>
      </c>
      <c r="D293" s="1" t="n">
        <v>46216</v>
      </c>
      <c r="E293" s="1" t="n">
        <v>46282</v>
      </c>
      <c r="F293" t="inlineStr">
        <is>
          <t>ÖREBRO LÄN</t>
        </is>
      </c>
      <c r="G293" t="inlineStr">
        <is>
          <t>HALLSBERG</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33252-2024</t>
        </is>
      </c>
      <c r="B294" t="inlineStr">
        <is>
          <t>avverkningsanmälan</t>
        </is>
      </c>
      <c r="C294" t="inlineStr">
        <is>
          <t>Föryngringsavverkning</t>
        </is>
      </c>
      <c r="D294" s="1" t="n">
        <v>45518</v>
      </c>
      <c r="E294" s="1" t="n">
        <v>46282</v>
      </c>
      <c r="F294" t="inlineStr">
        <is>
          <t>ÖREBRO LÄN</t>
        </is>
      </c>
      <c r="G294" t="inlineStr">
        <is>
          <t>HALLSBERG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56271-2023</t>
        </is>
      </c>
      <c r="B295" t="inlineStr">
        <is>
          <t>avverkningsanmälan</t>
        </is>
      </c>
      <c r="C295" t="inlineStr">
        <is>
          <t>Föryngringsavverkning</t>
        </is>
      </c>
      <c r="D295" s="1" t="n">
        <v>45240</v>
      </c>
      <c r="E295" s="1" t="n">
        <v>46282</v>
      </c>
      <c r="F295" t="inlineStr">
        <is>
          <t>ÖREBRO LÄN</t>
        </is>
      </c>
      <c r="G295" t="inlineStr">
        <is>
          <t>HALLSBERG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49582-2022</t>
        </is>
      </c>
      <c r="B296" t="inlineStr">
        <is>
          <t>avverkningsanmälan</t>
        </is>
      </c>
      <c r="C296" t="inlineStr">
        <is>
          <t>Föryngringsavverkning</t>
        </is>
      </c>
      <c r="D296" s="1" t="n">
        <v>44862</v>
      </c>
      <c r="E296" s="1" t="n">
        <v>46282</v>
      </c>
      <c r="F296" t="inlineStr">
        <is>
          <t>ÖREBRO LÄN</t>
        </is>
      </c>
      <c r="G296" t="inlineStr">
        <is>
          <t>HALLSBERG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63213-2023</t>
        </is>
      </c>
      <c r="B297" t="inlineStr">
        <is>
          <t>avverkningsanmälan</t>
        </is>
      </c>
      <c r="C297" t="inlineStr">
        <is>
          <t>Föryngringsavverkning</t>
        </is>
      </c>
      <c r="D297" s="1" t="n">
        <v>45272</v>
      </c>
      <c r="E297" s="1" t="n">
        <v>46282</v>
      </c>
      <c r="F297" t="inlineStr">
        <is>
          <t>ÖREBRO LÄN</t>
        </is>
      </c>
      <c r="G297" t="inlineStr">
        <is>
          <t>HALLSBERG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11925-2025</t>
        </is>
      </c>
      <c r="B298" t="inlineStr">
        <is>
          <t>avverkningsanmälan</t>
        </is>
      </c>
      <c r="C298" t="inlineStr">
        <is>
          <t>Avverkning för annat ändamål</t>
        </is>
      </c>
      <c r="D298" s="1" t="n">
        <v>45728</v>
      </c>
      <c r="E298" s="1" t="n">
        <v>46282</v>
      </c>
      <c r="F298" t="inlineStr">
        <is>
          <t>ÖREBRO LÄN</t>
        </is>
      </c>
      <c r="G298" t="inlineStr">
        <is>
          <t>HALLSBERG</t>
        </is>
      </c>
      <c r="H298" t="inlineStr">
        <is>
          <t>Allmännings- och besparingsskogar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29784-2026</t>
        </is>
      </c>
      <c r="B299" t="inlineStr">
        <is>
          <t>avverkningsanmälan</t>
        </is>
      </c>
      <c r="C299" t="inlineStr">
        <is>
          <t>Avverkning för annat ändamål</t>
        </is>
      </c>
      <c r="D299" s="1" t="n">
        <v>46204</v>
      </c>
      <c r="E299" s="1" t="n">
        <v>46282</v>
      </c>
      <c r="F299" t="inlineStr">
        <is>
          <t>ÖREBRO LÄN</t>
        </is>
      </c>
      <c r="G299" t="inlineStr">
        <is>
          <t>HALLSBERG</t>
        </is>
      </c>
      <c r="H299" t="inlineStr">
        <is>
          <t>Övriga Aktiebolag</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60081-2023</t>
        </is>
      </c>
      <c r="B300" t="inlineStr">
        <is>
          <t>avverkningsanmälan</t>
        </is>
      </c>
      <c r="C300" t="inlineStr">
        <is>
          <t>Avverkning för att bevara och utveckla /försöksver</t>
        </is>
      </c>
      <c r="D300" s="1" t="n">
        <v>45258</v>
      </c>
      <c r="E300" s="1" t="n">
        <v>46282</v>
      </c>
      <c r="F300" t="inlineStr">
        <is>
          <t>ÖREBRO LÄN</t>
        </is>
      </c>
      <c r="G300" t="inlineStr">
        <is>
          <t>HALLSBERG</t>
        </is>
      </c>
      <c r="H300" t="inlineStr">
        <is>
          <t>Sveaskog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36408-2026</t>
        </is>
      </c>
      <c r="B301" t="inlineStr">
        <is>
          <t>avverkningsanmälan</t>
        </is>
      </c>
      <c r="C301" t="inlineStr">
        <is>
          <t>Föryngringsavverkning</t>
        </is>
      </c>
      <c r="D301" s="1" t="n">
        <v>46268</v>
      </c>
      <c r="E301" s="1" t="n">
        <v>46282</v>
      </c>
      <c r="F301" t="inlineStr">
        <is>
          <t>ÖREBRO LÄN</t>
        </is>
      </c>
      <c r="G301" t="inlineStr">
        <is>
          <t>HALLSBERG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34597-2026</t>
        </is>
      </c>
      <c r="B302" t="inlineStr">
        <is>
          <t>avverkningsanmälan</t>
        </is>
      </c>
      <c r="C302" t="inlineStr">
        <is>
          <t>Föryngringsavverkning</t>
        </is>
      </c>
      <c r="D302" s="1" t="n">
        <v>46255</v>
      </c>
      <c r="E302" s="1" t="n">
        <v>46282</v>
      </c>
      <c r="F302" t="inlineStr">
        <is>
          <t>ÖREBRO LÄN</t>
        </is>
      </c>
      <c r="G302" t="inlineStr">
        <is>
          <t>HALLSBERG</t>
        </is>
      </c>
      <c r="H302" t="inlineStr">
        <is>
          <t>Allmännings- och besparingsskogar</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36905-2026</t>
        </is>
      </c>
      <c r="B303" t="inlineStr">
        <is>
          <t>avverkningsanmälan</t>
        </is>
      </c>
      <c r="C303" t="inlineStr">
        <is>
          <t>Föryngringsavverkning</t>
        </is>
      </c>
      <c r="D303" s="1" t="n">
        <v>46273</v>
      </c>
      <c r="E303" s="1" t="n">
        <v>46282</v>
      </c>
      <c r="F303" t="inlineStr">
        <is>
          <t>ÖREBRO LÄN</t>
        </is>
      </c>
      <c r="G303" t="inlineStr">
        <is>
          <t>HALLSBERG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4443-2025</t>
        </is>
      </c>
      <c r="B304" t="inlineStr">
        <is>
          <t>avverkningsanmälan</t>
        </is>
      </c>
      <c r="C304" t="inlineStr">
        <is>
          <t>Föryngringsavverkning</t>
        </is>
      </c>
      <c r="D304" s="1" t="n">
        <v>45686</v>
      </c>
      <c r="E304" s="1" t="n">
        <v>46282</v>
      </c>
      <c r="F304" t="inlineStr">
        <is>
          <t>ÖREBRO LÄN</t>
        </is>
      </c>
      <c r="G304" t="inlineStr">
        <is>
          <t>HALLSBERG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23928-2026</t>
        </is>
      </c>
      <c r="B305" t="inlineStr">
        <is>
          <t>avverkningsanmälan</t>
        </is>
      </c>
      <c r="C305" t="inlineStr">
        <is>
          <t>Föryngringsavverkning</t>
        </is>
      </c>
      <c r="D305" s="1" t="n">
        <v>46167</v>
      </c>
      <c r="E305" s="1" t="n">
        <v>46282</v>
      </c>
      <c r="F305" t="inlineStr">
        <is>
          <t>ÖREBRO LÄN</t>
        </is>
      </c>
      <c r="G305" t="inlineStr">
        <is>
          <t>HALLSBERG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1793-2026</t>
        </is>
      </c>
      <c r="B306" t="inlineStr">
        <is>
          <t>avverkningsanmälan</t>
        </is>
      </c>
      <c r="C306" t="inlineStr">
        <is>
          <t>Föryngringsavverkning</t>
        </is>
      </c>
      <c r="D306" s="1" t="n">
        <v>46034</v>
      </c>
      <c r="E306" s="1" t="n">
        <v>46282</v>
      </c>
      <c r="F306" t="inlineStr">
        <is>
          <t>ÖREBRO LÄN</t>
        </is>
      </c>
      <c r="G306" t="inlineStr">
        <is>
          <t>HALLSBERG</t>
        </is>
      </c>
      <c r="I306" t="n">
        <v>23.5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8252-2022</t>
        </is>
      </c>
      <c r="B307" t="inlineStr">
        <is>
          <t>avverkningsanmälan</t>
        </is>
      </c>
      <c r="C307" t="inlineStr">
        <is>
          <t>Föryngringsavverkning</t>
        </is>
      </c>
      <c r="D307" s="1" t="n">
        <v>44610</v>
      </c>
      <c r="E307" s="1" t="n">
        <v>46282</v>
      </c>
      <c r="F307" t="inlineStr">
        <is>
          <t>ÖREBRO LÄN</t>
        </is>
      </c>
      <c r="G307" t="inlineStr">
        <is>
          <t>HALLSBERG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35358-2026</t>
        </is>
      </c>
      <c r="B308" t="inlineStr">
        <is>
          <t>avverkningsanmälan</t>
        </is>
      </c>
      <c r="C308" t="inlineStr">
        <is>
          <t>Avverkning för annat ändamål</t>
        </is>
      </c>
      <c r="D308" s="1" t="n">
        <v>46261</v>
      </c>
      <c r="E308" s="1" t="n">
        <v>46282</v>
      </c>
      <c r="F308" t="inlineStr">
        <is>
          <t>ÖREBRO LÄN</t>
        </is>
      </c>
      <c r="G308" t="inlineStr">
        <is>
          <t>HALLSBERG</t>
        </is>
      </c>
      <c r="H308" t="inlineStr">
        <is>
          <t>Kommuner</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46792-2023</t>
        </is>
      </c>
      <c r="B309" t="inlineStr">
        <is>
          <t>avverkningsanmälan</t>
        </is>
      </c>
      <c r="C309" t="inlineStr">
        <is>
          <t>Föryngringsavverkning</t>
        </is>
      </c>
      <c r="D309" s="1" t="n">
        <v>45198</v>
      </c>
      <c r="E309" s="1" t="n">
        <v>46282</v>
      </c>
      <c r="F309" t="inlineStr">
        <is>
          <t>ÖREBRO LÄN</t>
        </is>
      </c>
      <c r="G309" t="inlineStr">
        <is>
          <t>HALLSBERG</t>
        </is>
      </c>
      <c r="H309" t="inlineStr">
        <is>
          <t>Allmännings- och besparingsskogar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60685-2021</t>
        </is>
      </c>
      <c r="B310" t="inlineStr">
        <is>
          <t>avverkningsanmälan</t>
        </is>
      </c>
      <c r="C310" t="inlineStr">
        <is>
          <t>Föryngringsavverkning</t>
        </is>
      </c>
      <c r="D310" s="1" t="n">
        <v>44496</v>
      </c>
      <c r="E310" s="1" t="n">
        <v>46282</v>
      </c>
      <c r="F310" t="inlineStr">
        <is>
          <t>ÖREBRO LÄN</t>
        </is>
      </c>
      <c r="G310" t="inlineStr">
        <is>
          <t>HALLSBERG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32220-2026</t>
        </is>
      </c>
      <c r="B311" t="inlineStr">
        <is>
          <t>avverkningsanmälan</t>
        </is>
      </c>
      <c r="C311" t="inlineStr">
        <is>
          <t>Föryngringsavverkning</t>
        </is>
      </c>
      <c r="D311" s="1" t="n">
        <v>46237</v>
      </c>
      <c r="E311" s="1" t="n">
        <v>46282</v>
      </c>
      <c r="F311" t="inlineStr">
        <is>
          <t>ÖREBRO LÄN</t>
        </is>
      </c>
      <c r="G311" t="inlineStr">
        <is>
          <t>HALLSBERG</t>
        </is>
      </c>
      <c r="H311" t="inlineStr">
        <is>
          <t>Sveaskog</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32202-2026</t>
        </is>
      </c>
      <c r="B312" t="inlineStr">
        <is>
          <t>avverkningsanmälan</t>
        </is>
      </c>
      <c r="C312" t="inlineStr">
        <is>
          <t>Föryngringsavverkning</t>
        </is>
      </c>
      <c r="D312" s="1" t="n">
        <v>46237</v>
      </c>
      <c r="E312" s="1" t="n">
        <v>46282</v>
      </c>
      <c r="F312" t="inlineStr">
        <is>
          <t>ÖREBRO LÄN</t>
        </is>
      </c>
      <c r="G312" t="inlineStr">
        <is>
          <t>HALLSBERG</t>
        </is>
      </c>
      <c r="H312" t="inlineStr">
        <is>
          <t>Sveaskog</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32189-2026</t>
        </is>
      </c>
      <c r="B313" t="inlineStr">
        <is>
          <t>avverkningsanmälan</t>
        </is>
      </c>
      <c r="C313" t="inlineStr">
        <is>
          <t>Föryngringsavverkning</t>
        </is>
      </c>
      <c r="D313" s="1" t="n">
        <v>46237</v>
      </c>
      <c r="E313" s="1" t="n">
        <v>46282</v>
      </c>
      <c r="F313" t="inlineStr">
        <is>
          <t>ÖREBRO LÄN</t>
        </is>
      </c>
      <c r="G313" t="inlineStr">
        <is>
          <t>HALLSBERG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32190-2026</t>
        </is>
      </c>
      <c r="B314" t="inlineStr">
        <is>
          <t>avverkningsanmälan</t>
        </is>
      </c>
      <c r="C314" t="inlineStr">
        <is>
          <t>Föryngringsavverkning</t>
        </is>
      </c>
      <c r="D314" s="1" t="n">
        <v>46237</v>
      </c>
      <c r="E314" s="1" t="n">
        <v>46282</v>
      </c>
      <c r="F314" t="inlineStr">
        <is>
          <t>ÖREBRO LÄN</t>
        </is>
      </c>
      <c r="G314" t="inlineStr">
        <is>
          <t>HALLSBERG</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32186-2026</t>
        </is>
      </c>
      <c r="B315" t="inlineStr">
        <is>
          <t>avverkningsanmälan</t>
        </is>
      </c>
      <c r="C315" t="inlineStr">
        <is>
          <t>Föryngringsavverkning</t>
        </is>
      </c>
      <c r="D315" s="1" t="n">
        <v>46237</v>
      </c>
      <c r="E315" s="1" t="n">
        <v>46282</v>
      </c>
      <c r="F315" t="inlineStr">
        <is>
          <t>ÖREBRO LÄN</t>
        </is>
      </c>
      <c r="G315" t="inlineStr">
        <is>
          <t>HALLSBERG</t>
        </is>
      </c>
      <c r="H315" t="inlineStr">
        <is>
          <t>Sveaskog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32188-2026</t>
        </is>
      </c>
      <c r="B316" t="inlineStr">
        <is>
          <t>avverkningsanmälan</t>
        </is>
      </c>
      <c r="C316" t="inlineStr">
        <is>
          <t>Föryngringsavverkning</t>
        </is>
      </c>
      <c r="D316" s="1" t="n">
        <v>46237</v>
      </c>
      <c r="E316" s="1" t="n">
        <v>46282</v>
      </c>
      <c r="F316" t="inlineStr">
        <is>
          <t>ÖREBRO LÄN</t>
        </is>
      </c>
      <c r="G316" t="inlineStr">
        <is>
          <t>HALLSBERG</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32221-2026</t>
        </is>
      </c>
      <c r="B317" t="inlineStr">
        <is>
          <t>avverkningsanmälan</t>
        </is>
      </c>
      <c r="C317" t="inlineStr">
        <is>
          <t>Föryngringsavverkning</t>
        </is>
      </c>
      <c r="D317" s="1" t="n">
        <v>46237</v>
      </c>
      <c r="E317" s="1" t="n">
        <v>46282</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32191-2026</t>
        </is>
      </c>
      <c r="B318" t="inlineStr">
        <is>
          <t>avverkningsanmälan</t>
        </is>
      </c>
      <c r="C318" t="inlineStr">
        <is>
          <t>Föryngringsavverkning</t>
        </is>
      </c>
      <c r="D318" s="1" t="n">
        <v>46237</v>
      </c>
      <c r="E318" s="1" t="n">
        <v>46282</v>
      </c>
      <c r="F318" t="inlineStr">
        <is>
          <t>ÖREBRO LÄN</t>
        </is>
      </c>
      <c r="G318" t="inlineStr">
        <is>
          <t>HALLSBERG</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32381-2026</t>
        </is>
      </c>
      <c r="B319" t="inlineStr">
        <is>
          <t>avverkningsanmälan</t>
        </is>
      </c>
      <c r="C319" t="inlineStr">
        <is>
          <t>Föryngringsavverkning</t>
        </is>
      </c>
      <c r="D319" s="1" t="n">
        <v>46238</v>
      </c>
      <c r="E319" s="1" t="n">
        <v>46282</v>
      </c>
      <c r="F319" t="inlineStr">
        <is>
          <t>ÖREBRO LÄN</t>
        </is>
      </c>
      <c r="G319" t="inlineStr">
        <is>
          <t>HALLSBERG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32388-2026</t>
        </is>
      </c>
      <c r="B320" t="inlineStr">
        <is>
          <t>avverkningsanmälan</t>
        </is>
      </c>
      <c r="C320" t="inlineStr">
        <is>
          <t>Föryngringsavverkning</t>
        </is>
      </c>
      <c r="D320" s="1" t="n">
        <v>46238</v>
      </c>
      <c r="E320" s="1" t="n">
        <v>46282</v>
      </c>
      <c r="F320" t="inlineStr">
        <is>
          <t>ÖREBRO LÄN</t>
        </is>
      </c>
      <c r="G320" t="inlineStr">
        <is>
          <t>HALLSBERG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32536-2024</t>
        </is>
      </c>
      <c r="B321" t="inlineStr">
        <is>
          <t>avverkningsanmälan</t>
        </is>
      </c>
      <c r="C321" t="inlineStr">
        <is>
          <t>Föryngringsavverkning</t>
        </is>
      </c>
      <c r="D321" s="1" t="n">
        <v>45513</v>
      </c>
      <c r="E321" s="1" t="n">
        <v>46282</v>
      </c>
      <c r="F321" t="inlineStr">
        <is>
          <t>ÖREBRO LÄN</t>
        </is>
      </c>
      <c r="G321" t="inlineStr">
        <is>
          <t>HALLSBERG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32193-2026</t>
        </is>
      </c>
      <c r="B322" t="inlineStr">
        <is>
          <t>avverkningsanmälan</t>
        </is>
      </c>
      <c r="C322" t="inlineStr">
        <is>
          <t>Föryngringsavverkning</t>
        </is>
      </c>
      <c r="D322" s="1" t="n">
        <v>46237</v>
      </c>
      <c r="E322" s="1" t="n">
        <v>46282</v>
      </c>
      <c r="F322" t="inlineStr">
        <is>
          <t>ÖREBRO LÄN</t>
        </is>
      </c>
      <c r="G322" t="inlineStr">
        <is>
          <t>HALLSBERG</t>
        </is>
      </c>
      <c r="H322" t="inlineStr">
        <is>
          <t>Sveaskog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41595-2022</t>
        </is>
      </c>
      <c r="B323" t="inlineStr">
        <is>
          <t>avverkningsanmälan</t>
        </is>
      </c>
      <c r="C323" t="inlineStr">
        <is>
          <t>Föryngringsavverkning</t>
        </is>
      </c>
      <c r="D323" s="1" t="n">
        <v>44827</v>
      </c>
      <c r="E323" s="1" t="n">
        <v>46282</v>
      </c>
      <c r="F323" t="inlineStr">
        <is>
          <t>ÖREBRO LÄN</t>
        </is>
      </c>
      <c r="G323" t="inlineStr">
        <is>
          <t>HALLSBERG</t>
        </is>
      </c>
      <c r="H323" t="inlineStr">
        <is>
          <t>Kommuner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53247-2024</t>
        </is>
      </c>
      <c r="B324" t="inlineStr">
        <is>
          <t>avverkningsanmälan</t>
        </is>
      </c>
      <c r="C324" t="inlineStr">
        <is>
          <t>Föryngringsavverkning</t>
        </is>
      </c>
      <c r="D324" s="1" t="n">
        <v>45614</v>
      </c>
      <c r="E324" s="1" t="n">
        <v>46282</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44616-2024</t>
        </is>
      </c>
      <c r="B325" t="inlineStr">
        <is>
          <t>avverkningsanmälan</t>
        </is>
      </c>
      <c r="C325" t="inlineStr">
        <is>
          <t>Föryngringsavverkning</t>
        </is>
      </c>
      <c r="D325" s="1" t="n">
        <v>45574</v>
      </c>
      <c r="E325" s="1" t="n">
        <v>46282</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19750-2024</t>
        </is>
      </c>
      <c r="B326" t="inlineStr">
        <is>
          <t>avverkningsanmälan</t>
        </is>
      </c>
      <c r="C326" t="inlineStr">
        <is>
          <t>Avverkning för att bevara och utveckla /försöksver</t>
        </is>
      </c>
      <c r="D326" s="1" t="n">
        <v>45432</v>
      </c>
      <c r="E326" s="1" t="n">
        <v>46282</v>
      </c>
      <c r="F326" t="inlineStr">
        <is>
          <t>ÖREBRO LÄN</t>
        </is>
      </c>
      <c r="G326" t="inlineStr">
        <is>
          <t>HALLSBERG</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46282</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46282</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46282</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46282</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46282</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46282</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46282</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46282</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46282</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46282</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2026-09-17T02:01:29Z</dcterms:created>
  <dcterms:modified xmlns:dcterms="http://purl.org/dc/terms/" xmlns:xsi="http://www.w3.org/2001/XMLSchema-instance" xsi:type="dcterms:W3CDTF">2026-09-17T02:01:30Z</dcterms:modified>
</cp:coreProperties>
</file>