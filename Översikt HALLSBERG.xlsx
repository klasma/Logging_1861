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45766</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45766</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45766</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45766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45766</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45766</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25688-2021</t>
        </is>
      </c>
      <c r="B8" s="1" t="n">
        <v>44343</v>
      </c>
      <c r="C8" s="1" t="n">
        <v>45766</v>
      </c>
      <c r="D8" t="inlineStr">
        <is>
          <t>ÖREBRO LÄN</t>
        </is>
      </c>
      <c r="E8" t="inlineStr">
        <is>
          <t>HALLSBERG</t>
        </is>
      </c>
      <c r="F8" t="inlineStr">
        <is>
          <t>Sveaskog</t>
        </is>
      </c>
      <c r="G8" t="n">
        <v>9.6</v>
      </c>
      <c r="H8" t="n">
        <v>2</v>
      </c>
      <c r="I8" t="n">
        <v>1</v>
      </c>
      <c r="J8" t="n">
        <v>2</v>
      </c>
      <c r="K8" t="n">
        <v>0</v>
      </c>
      <c r="L8" t="n">
        <v>0</v>
      </c>
      <c r="M8" t="n">
        <v>0</v>
      </c>
      <c r="N8" t="n">
        <v>0</v>
      </c>
      <c r="O8" t="n">
        <v>2</v>
      </c>
      <c r="P8" t="n">
        <v>0</v>
      </c>
      <c r="Q8" t="n">
        <v>5</v>
      </c>
      <c r="R8" s="2" t="inlineStr">
        <is>
          <t>Dvärgbägarlav
Vedskivlav
Vedticka
Orre
Mattlummer</t>
        </is>
      </c>
      <c r="S8">
        <f>HYPERLINK("https://klasma.github.io/Logging_1861/artfynd/A 25688-2021 artfynd.xlsx", "A 25688-2021")</f>
        <v/>
      </c>
      <c r="T8">
        <f>HYPERLINK("https://klasma.github.io/Logging_1861/kartor/A 25688-2021 karta.png", "A 25688-2021")</f>
        <v/>
      </c>
      <c r="V8">
        <f>HYPERLINK("https://klasma.github.io/Logging_1861/klagomål/A 25688-2021 FSC-klagomål.docx", "A 25688-2021")</f>
        <v/>
      </c>
      <c r="W8">
        <f>HYPERLINK("https://klasma.github.io/Logging_1861/klagomålsmail/A 25688-2021 FSC-klagomål mail.docx", "A 25688-2021")</f>
        <v/>
      </c>
      <c r="X8">
        <f>HYPERLINK("https://klasma.github.io/Logging_1861/tillsyn/A 25688-2021 tillsynsbegäran.docx", "A 25688-2021")</f>
        <v/>
      </c>
      <c r="Y8">
        <f>HYPERLINK("https://klasma.github.io/Logging_1861/tillsynsmail/A 25688-2021 tillsynsbegäran mail.docx", "A 25688-2021")</f>
        <v/>
      </c>
      <c r="Z8">
        <f>HYPERLINK("https://klasma.github.io/Logging_1861/fåglar/A 25688-2021 prioriterade fågelarter.docx", "A 25688-2021")</f>
        <v/>
      </c>
    </row>
    <row r="9" ht="15" customHeight="1">
      <c r="A9" t="inlineStr">
        <is>
          <t>A 17046-2023</t>
        </is>
      </c>
      <c r="B9" s="1" t="n">
        <v>45034</v>
      </c>
      <c r="C9" s="1" t="n">
        <v>45766</v>
      </c>
      <c r="D9" t="inlineStr">
        <is>
          <t>ÖREBRO LÄN</t>
        </is>
      </c>
      <c r="E9" t="inlineStr">
        <is>
          <t>HALLSBERG</t>
        </is>
      </c>
      <c r="G9" t="n">
        <v>7.5</v>
      </c>
      <c r="H9" t="n">
        <v>1</v>
      </c>
      <c r="I9" t="n">
        <v>2</v>
      </c>
      <c r="J9" t="n">
        <v>3</v>
      </c>
      <c r="K9" t="n">
        <v>0</v>
      </c>
      <c r="L9" t="n">
        <v>0</v>
      </c>
      <c r="M9" t="n">
        <v>0</v>
      </c>
      <c r="N9" t="n">
        <v>0</v>
      </c>
      <c r="O9" t="n">
        <v>3</v>
      </c>
      <c r="P9" t="n">
        <v>0</v>
      </c>
      <c r="Q9" t="n">
        <v>5</v>
      </c>
      <c r="R9" s="2" t="inlineStr">
        <is>
          <t>Orange taggsvamp
Spillkråka
Ullticka
Blåmossa
Gullgröppa</t>
        </is>
      </c>
      <c r="S9">
        <f>HYPERLINK("https://klasma.github.io/Logging_1861/artfynd/A 17046-2023 artfynd.xlsx", "A 17046-2023")</f>
        <v/>
      </c>
      <c r="T9">
        <f>HYPERLINK("https://klasma.github.io/Logging_1861/kartor/A 17046-2023 karta.png", "A 17046-2023")</f>
        <v/>
      </c>
      <c r="V9">
        <f>HYPERLINK("https://klasma.github.io/Logging_1861/klagomål/A 17046-2023 FSC-klagomål.docx", "A 17046-2023")</f>
        <v/>
      </c>
      <c r="W9">
        <f>HYPERLINK("https://klasma.github.io/Logging_1861/klagomålsmail/A 17046-2023 FSC-klagomål mail.docx", "A 17046-2023")</f>
        <v/>
      </c>
      <c r="X9">
        <f>HYPERLINK("https://klasma.github.io/Logging_1861/tillsyn/A 17046-2023 tillsynsbegäran.docx", "A 17046-2023")</f>
        <v/>
      </c>
      <c r="Y9">
        <f>HYPERLINK("https://klasma.github.io/Logging_1861/tillsynsmail/A 17046-2023 tillsynsbegäran mail.docx", "A 17046-2023")</f>
        <v/>
      </c>
      <c r="Z9">
        <f>HYPERLINK("https://klasma.github.io/Logging_1861/fåglar/A 17046-2023 prioriterade fågelarter.docx", "A 17046-2023")</f>
        <v/>
      </c>
    </row>
    <row r="10" ht="15" customHeight="1">
      <c r="A10" t="inlineStr">
        <is>
          <t>A 46392-2023</t>
        </is>
      </c>
      <c r="B10" s="1" t="n">
        <v>45197</v>
      </c>
      <c r="C10" s="1" t="n">
        <v>45766</v>
      </c>
      <c r="D10" t="inlineStr">
        <is>
          <t>ÖREBRO LÄN</t>
        </is>
      </c>
      <c r="E10" t="inlineStr">
        <is>
          <t>HALLSBERG</t>
        </is>
      </c>
      <c r="G10" t="n">
        <v>18.2</v>
      </c>
      <c r="H10" t="n">
        <v>4</v>
      </c>
      <c r="I10" t="n">
        <v>1</v>
      </c>
      <c r="J10" t="n">
        <v>3</v>
      </c>
      <c r="K10" t="n">
        <v>0</v>
      </c>
      <c r="L10" t="n">
        <v>0</v>
      </c>
      <c r="M10" t="n">
        <v>0</v>
      </c>
      <c r="N10" t="n">
        <v>0</v>
      </c>
      <c r="O10" t="n">
        <v>3</v>
      </c>
      <c r="P10" t="n">
        <v>0</v>
      </c>
      <c r="Q10" t="n">
        <v>5</v>
      </c>
      <c r="R10" s="2" t="inlineStr">
        <is>
          <t>Entita
Gulsparv
Spillkråka
Tibast
Blåsippa</t>
        </is>
      </c>
      <c r="S10">
        <f>HYPERLINK("https://klasma.github.io/Logging_1861/artfynd/A 46392-2023 artfynd.xlsx", "A 46392-2023")</f>
        <v/>
      </c>
      <c r="T10">
        <f>HYPERLINK("https://klasma.github.io/Logging_1861/kartor/A 46392-2023 karta.png", "A 46392-2023")</f>
        <v/>
      </c>
      <c r="V10">
        <f>HYPERLINK("https://klasma.github.io/Logging_1861/klagomål/A 46392-2023 FSC-klagomål.docx", "A 46392-2023")</f>
        <v/>
      </c>
      <c r="W10">
        <f>HYPERLINK("https://klasma.github.io/Logging_1861/klagomålsmail/A 46392-2023 FSC-klagomål mail.docx", "A 46392-2023")</f>
        <v/>
      </c>
      <c r="X10">
        <f>HYPERLINK("https://klasma.github.io/Logging_1861/tillsyn/A 46392-2023 tillsynsbegäran.docx", "A 46392-2023")</f>
        <v/>
      </c>
      <c r="Y10">
        <f>HYPERLINK("https://klasma.github.io/Logging_1861/tillsynsmail/A 46392-2023 tillsynsbegäran mail.docx", "A 46392-2023")</f>
        <v/>
      </c>
      <c r="Z10">
        <f>HYPERLINK("https://klasma.github.io/Logging_1861/fåglar/A 46392-2023 prioriterade fågelarter.docx", "A 46392-2023")</f>
        <v/>
      </c>
    </row>
    <row r="11" ht="15" customHeight="1">
      <c r="A11" t="inlineStr">
        <is>
          <t>A 63227-2023</t>
        </is>
      </c>
      <c r="B11" s="1" t="n">
        <v>45272</v>
      </c>
      <c r="C11" s="1" t="n">
        <v>45766</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45766</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45766</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45766</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45766</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45766</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45766</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45766</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45766</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45766</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45766</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45766</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45766</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45766</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45766</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45766</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45766</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45766</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45766</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45766</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45766</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45766</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45766</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45766</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45766</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45766</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45766</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45766</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45766</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45766</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45766</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45766</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45766</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45766</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45766</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45766</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45766</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45766</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45766</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45766</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45766</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45766</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45766</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45766</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45766</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45766</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45766</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45766</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45766</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45766</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45766</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45766</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45766</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45766</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45766</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45766</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45766</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45766</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45766</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45766</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45766</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45766</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45766</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45766</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45766</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45766</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45766</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45766</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45766</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45766</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45766</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45766</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45766</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45766</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45766</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45766</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45766</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45766</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45766</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45766</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45766</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45766</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45766</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45766</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45766</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45766</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45766</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45766</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45766</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45766</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45766</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45766</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45766</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45766</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45766</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45766</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45766</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45766</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45766</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45766</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45766</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45766</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45766</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45766</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45766</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45766</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45766</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45766</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45766</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45766</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45766</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45766</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45766</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45766</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45766</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45766</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45766</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45766</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45766</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45766</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45766</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45766</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45766</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45766</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45766</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45766</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45766</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45766</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45766</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45766</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45766</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45766</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45766</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45766</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45766</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45766</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45766</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45766</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45766</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45766</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45766</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45766</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45766</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45766</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45766</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45766</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45766</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45766</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45766</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45766</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45766</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45766</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45766</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45766</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45766</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45766</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45766</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45766</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45766</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45766</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45766</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45766</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45766</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45766</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45766</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45766</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45766</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45766</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45766</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45766</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45766</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45766</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45766</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45766</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45766</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45766</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45766</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45766</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45766</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45766</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45766</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45766</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45766</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45766</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45766</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45766</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45766</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45766</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45766</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45766</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45766</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45766</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45766</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45766</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45766</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45766</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45766</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45766</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45766</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45766</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45766</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45766</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45766</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45766</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45766</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45766</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45766</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45766</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45766</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45766</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45766</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45766</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45766</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45766</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45766</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45766</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45766</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45766</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45766</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45766</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45766</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45766</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45766</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45766</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45766</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45766</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45766</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45766</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45766</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45766</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45766</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45766</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45766</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45766</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45766</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45766</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45766</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45766</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45766</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45766</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45766</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45766</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45766</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45766</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45766</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45766</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45766</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45766</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45766</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45766</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45766</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45766</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45766</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45766</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45766</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45766</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45766</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45766</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45766</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45766</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45766</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45766</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45766</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45766</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45766</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45766</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45766</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45766</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45766</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45766</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45766</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45766</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45766</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45766</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45766</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45766</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45766</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45766</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45766</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45766</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45766</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45766</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45766</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45766</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45766</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45766</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45766</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45766</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45766</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45766</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45766</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45766</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45766</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45766</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45766</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45766</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45766</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45766</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45766</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45766</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45766</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45766</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45766</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45766</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45766</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45766</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45766</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45766</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45766</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45766</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45766</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45766</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45766</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45766</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45766</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45766</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45766</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45766</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45766</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45766</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45766</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45766</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45766</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45766</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45766</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45766</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45766</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45766</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45766</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45766</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45766</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45766</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45766</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45766</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45766</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45766</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45766</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45766</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45766</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45766</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45766</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45766</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45766</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45766</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45766</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45766</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45766</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45766</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45766</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45766</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45766</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45766</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45766</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45766</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45766</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45766</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45766</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45766</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45766</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45766</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45766</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45766</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45766</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45766</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45766</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45766</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45766</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45766</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45766</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45766</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45766</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45766</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45766</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45766</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45766</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45766</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45766</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45766</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45766</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45766</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45766</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45766</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45766</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45766</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45766</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45766</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45766</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45766</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45766</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45766</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45766</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45766</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45766</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45766</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45766</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45766</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45766</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45766</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45766</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45766</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45766</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45766</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45766</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45766</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45766</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45766</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45766</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45766</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45766</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45766</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45766</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45766</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45766</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45766</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45766</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45766</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45766</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45766</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45766</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45766</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45766</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45766</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45766</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45766</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45766</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45766</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45766</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45766</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45766</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45766</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45766</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45766</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45766</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45766</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45766</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45766</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45766</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45766</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45766</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45766</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45766</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45766</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45766</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45766</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45766</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45766</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45766</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45766</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45766</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45766</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45766</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45766</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45766</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45766</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45766</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45766</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45766</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45766</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45766</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45766</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45766</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45766</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45766</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45766</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45766</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45766</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45766</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45766</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45766</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45766</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45766</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45766</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45766</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45766</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45766</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45766</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45766</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45766</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45766</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45766</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45766</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45766</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45766</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45766</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45766</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45766</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45766</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45766</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45766</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45766</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45766</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45766</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45766</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45766</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45766</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45766</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45766</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45766</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45766</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45766</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45766</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45766</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45766</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45766</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45766</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45766</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45766</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45766</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45766</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45766</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45766</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45766</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45766</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45766</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45766</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45766</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45766</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45766</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45766</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45766</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45766</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45766</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45766</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45766</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45766</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45766</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45766</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45766</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45766</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45766</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45766</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45766</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45766</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45766</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45766</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45766</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45766</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45766</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45766</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45766</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45766</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45766</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45766</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45766</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45766</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45766</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45766</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45766</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45766</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45766</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45766</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45766</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45766</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45766</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45766</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45766</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45766</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45766</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45766</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45766</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45766</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45766</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45766</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45766</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45766</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45766</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45766</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45766</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45766</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45766</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45766</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45766</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45766</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45766</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45766</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45766</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45766</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45766</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45766</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45766</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45766</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45766</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45766</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45766</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45766</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45766</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45766</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45766</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45766</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45766</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45766</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45766</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45766</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45766</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45766</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45766</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45766</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45766</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45766</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45766</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45766</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45766</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45766</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45766</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45766</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45766</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45766</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45766</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45766</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45766</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45766</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45766</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45766</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18137-2025</t>
        </is>
      </c>
      <c r="B624" s="1" t="n">
        <v>45761</v>
      </c>
      <c r="C624" s="1" t="n">
        <v>45766</v>
      </c>
      <c r="D624" t="inlineStr">
        <is>
          <t>ÖREBRO LÄN</t>
        </is>
      </c>
      <c r="E624" t="inlineStr">
        <is>
          <t>HALLSBERG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18140-2025</t>
        </is>
      </c>
      <c r="B625" s="1" t="n">
        <v>45761</v>
      </c>
      <c r="C625" s="1" t="n">
        <v>45766</v>
      </c>
      <c r="D625" t="inlineStr">
        <is>
          <t>ÖREBRO LÄN</t>
        </is>
      </c>
      <c r="E625" t="inlineStr">
        <is>
          <t>HALLSBERG</t>
        </is>
      </c>
      <c r="F625" t="inlineStr">
        <is>
          <t>Sveaskog</t>
        </is>
      </c>
      <c r="G625" t="n">
        <v>2.8</v>
      </c>
      <c r="H625" t="n">
        <v>0</v>
      </c>
      <c r="I625" t="n">
        <v>0</v>
      </c>
      <c r="J625" t="n">
        <v>0</v>
      </c>
      <c r="K625" t="n">
        <v>0</v>
      </c>
      <c r="L625" t="n">
        <v>0</v>
      </c>
      <c r="M625" t="n">
        <v>0</v>
      </c>
      <c r="N625" t="n">
        <v>0</v>
      </c>
      <c r="O625" t="n">
        <v>0</v>
      </c>
      <c r="P625" t="n">
        <v>0</v>
      </c>
      <c r="Q625" t="n">
        <v>0</v>
      </c>
      <c r="R625" s="2" t="inlineStr"/>
    </row>
    <row r="626">
      <c r="A626" t="inlineStr">
        <is>
          <t>A 18132-2025</t>
        </is>
      </c>
      <c r="B626" s="1" t="n">
        <v>45761</v>
      </c>
      <c r="C626" s="1" t="n">
        <v>45766</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2025-04-19T17:22:12Z</dcterms:created>
  <dcterms:modified xmlns:dcterms="http://purl.org/dc/terms/" xmlns:xsi="http://www.w3.org/2001/XMLSchema-instance" xsi:type="dcterms:W3CDTF">2025-04-19T17:22:13Z</dcterms:modified>
</cp:coreProperties>
</file>