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45736</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45736</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45736</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45736</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45736</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45736</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45736</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45736</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45736</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45736</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HYPERLINK("https://klasma.github.io/Logging_1861/artfynd/A 12560-2025 artfynd.xlsx", "A 12560-2025")</f>
        <v/>
      </c>
      <c r="T11">
        <f>HYPERLINK("https://klasma.github.io/Logging_1861/kartor/A 12560-2025 karta.png", "A 12560-2025")</f>
        <v/>
      </c>
      <c r="U11">
        <f>HYPERLINK("https://klasma.github.io/Logging_1861/knärot/A 12560-2025 karta knärot.png", "A 12560-2025")</f>
        <v/>
      </c>
      <c r="V11">
        <f>HYPERLINK("https://klasma.github.io/Logging_1861/klagomål/A 12560-2025 FSC-klagomål.docx", "A 12560-2025")</f>
        <v/>
      </c>
      <c r="W11">
        <f>HYPERLINK("https://klasma.github.io/Logging_1861/klagomålsmail/A 12560-2025 FSC-klagomål mail.docx", "A 12560-2025")</f>
        <v/>
      </c>
      <c r="X11">
        <f>HYPERLINK("https://klasma.github.io/Logging_1861/tillsyn/A 12560-2025 tillsynsbegäran.docx", "A 12560-2025")</f>
        <v/>
      </c>
      <c r="Y11">
        <f>HYPERLINK("https://klasma.github.io/Logging_1861/tillsynsmail/A 12560-2025 tillsynsbegäran mail.docx", "A 12560-2025")</f>
        <v/>
      </c>
      <c r="Z11">
        <f>HYPERLINK("https://klasma.github.io/Logging_1861/fåglar/A 12560-2025 prioriterade fågelarter.docx", "A 12560-2025")</f>
        <v/>
      </c>
    </row>
    <row r="12" ht="15" customHeight="1">
      <c r="A12" t="inlineStr">
        <is>
          <t>A 35656-2019</t>
        </is>
      </c>
      <c r="B12" s="1" t="n">
        <v>43655</v>
      </c>
      <c r="C12" s="1" t="n">
        <v>45736</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45736</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45736</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45736</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45736</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45736</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45736</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45736</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45736</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45736</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45736</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45736</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45736</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45736</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45736</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45736</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45736</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45736</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45736</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45736</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45736</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45736</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45736</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45736</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45736</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45736</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45736</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45736</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45736</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45736</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45736</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45736</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45736</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45736</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45736</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45736</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45736</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45736</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45736</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45736</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45736</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45736</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45736</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45736</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45736</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45736</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45736</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45736</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45736</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64697-2023</t>
        </is>
      </c>
      <c r="B61" s="1" t="n">
        <v>45281</v>
      </c>
      <c r="C61" s="1" t="n">
        <v>45736</v>
      </c>
      <c r="D61" t="inlineStr">
        <is>
          <t>ÖREBRO LÄN</t>
        </is>
      </c>
      <c r="E61" t="inlineStr">
        <is>
          <t>HALLSBERG</t>
        </is>
      </c>
      <c r="F61" t="inlineStr">
        <is>
          <t>Sveaskog</t>
        </is>
      </c>
      <c r="G61" t="n">
        <v>13.4</v>
      </c>
      <c r="H61" t="n">
        <v>1</v>
      </c>
      <c r="I61" t="n">
        <v>0</v>
      </c>
      <c r="J61" t="n">
        <v>1</v>
      </c>
      <c r="K61" t="n">
        <v>0</v>
      </c>
      <c r="L61" t="n">
        <v>0</v>
      </c>
      <c r="M61" t="n">
        <v>0</v>
      </c>
      <c r="N61" t="n">
        <v>0</v>
      </c>
      <c r="O61" t="n">
        <v>1</v>
      </c>
      <c r="P61" t="n">
        <v>0</v>
      </c>
      <c r="Q61" t="n">
        <v>1</v>
      </c>
      <c r="R61" s="2" t="inlineStr">
        <is>
          <t>Spillkråka</t>
        </is>
      </c>
      <c r="S61">
        <f>HYPERLINK("https://klasma.github.io/Logging_1861/artfynd/A 64697-2023 artfynd.xlsx", "A 64697-2023")</f>
        <v/>
      </c>
      <c r="T61">
        <f>HYPERLINK("https://klasma.github.io/Logging_1861/kartor/A 64697-2023 karta.png", "A 64697-2023")</f>
        <v/>
      </c>
      <c r="V61">
        <f>HYPERLINK("https://klasma.github.io/Logging_1861/klagomål/A 64697-2023 FSC-klagomål.docx", "A 64697-2023")</f>
        <v/>
      </c>
      <c r="W61">
        <f>HYPERLINK("https://klasma.github.io/Logging_1861/klagomålsmail/A 64697-2023 FSC-klagomål mail.docx", "A 64697-2023")</f>
        <v/>
      </c>
      <c r="X61">
        <f>HYPERLINK("https://klasma.github.io/Logging_1861/tillsyn/A 64697-2023 tillsynsbegäran.docx", "A 64697-2023")</f>
        <v/>
      </c>
      <c r="Y61">
        <f>HYPERLINK("https://klasma.github.io/Logging_1861/tillsynsmail/A 64697-2023 tillsynsbegäran mail.docx", "A 64697-2023")</f>
        <v/>
      </c>
      <c r="Z61">
        <f>HYPERLINK("https://klasma.github.io/Logging_1861/fåglar/A 64697-2023 prioriterade fågelarter.docx", "A 64697-2023")</f>
        <v/>
      </c>
    </row>
    <row r="62" ht="15" customHeight="1">
      <c r="A62" t="inlineStr">
        <is>
          <t>A 2694-2024</t>
        </is>
      </c>
      <c r="B62" s="1" t="n">
        <v>45314</v>
      </c>
      <c r="C62" s="1" t="n">
        <v>45736</v>
      </c>
      <c r="D62" t="inlineStr">
        <is>
          <t>ÖREBRO LÄN</t>
        </is>
      </c>
      <c r="E62" t="inlineStr">
        <is>
          <t>HALLSBERG</t>
        </is>
      </c>
      <c r="G62" t="n">
        <v>1.6</v>
      </c>
      <c r="H62" t="n">
        <v>1</v>
      </c>
      <c r="I62" t="n">
        <v>0</v>
      </c>
      <c r="J62" t="n">
        <v>0</v>
      </c>
      <c r="K62" t="n">
        <v>0</v>
      </c>
      <c r="L62" t="n">
        <v>0</v>
      </c>
      <c r="M62" t="n">
        <v>0</v>
      </c>
      <c r="N62" t="n">
        <v>0</v>
      </c>
      <c r="O62" t="n">
        <v>0</v>
      </c>
      <c r="P62" t="n">
        <v>0</v>
      </c>
      <c r="Q62" t="n">
        <v>1</v>
      </c>
      <c r="R62" s="2" t="inlineStr">
        <is>
          <t>Blåsippa</t>
        </is>
      </c>
      <c r="S62">
        <f>HYPERLINK("https://klasma.github.io/Logging_1861/artfynd/A 2694-2024 artfynd.xlsx", "A 2694-2024")</f>
        <v/>
      </c>
      <c r="T62">
        <f>HYPERLINK("https://klasma.github.io/Logging_1861/kartor/A 2694-2024 karta.png", "A 2694-2024")</f>
        <v/>
      </c>
      <c r="V62">
        <f>HYPERLINK("https://klasma.github.io/Logging_1861/klagomål/A 2694-2024 FSC-klagomål.docx", "A 2694-2024")</f>
        <v/>
      </c>
      <c r="W62">
        <f>HYPERLINK("https://klasma.github.io/Logging_1861/klagomålsmail/A 2694-2024 FSC-klagomål mail.docx", "A 2694-2024")</f>
        <v/>
      </c>
      <c r="X62">
        <f>HYPERLINK("https://klasma.github.io/Logging_1861/tillsyn/A 2694-2024 tillsynsbegäran.docx", "A 2694-2024")</f>
        <v/>
      </c>
      <c r="Y62">
        <f>HYPERLINK("https://klasma.github.io/Logging_1861/tillsynsmail/A 2694-2024 tillsynsbegäran mail.docx", "A 2694-2024")</f>
        <v/>
      </c>
    </row>
    <row r="63" ht="15" customHeight="1">
      <c r="A63" t="inlineStr">
        <is>
          <t>A 9679-2024</t>
        </is>
      </c>
      <c r="B63" s="1" t="n">
        <v>45362</v>
      </c>
      <c r="C63" s="1" t="n">
        <v>45736</v>
      </c>
      <c r="D63" t="inlineStr">
        <is>
          <t>ÖREBRO LÄN</t>
        </is>
      </c>
      <c r="E63" t="inlineStr">
        <is>
          <t>HALLSBERG</t>
        </is>
      </c>
      <c r="G63" t="n">
        <v>10.9</v>
      </c>
      <c r="H63" t="n">
        <v>0</v>
      </c>
      <c r="I63" t="n">
        <v>1</v>
      </c>
      <c r="J63" t="n">
        <v>0</v>
      </c>
      <c r="K63" t="n">
        <v>0</v>
      </c>
      <c r="L63" t="n">
        <v>0</v>
      </c>
      <c r="M63" t="n">
        <v>0</v>
      </c>
      <c r="N63" t="n">
        <v>0</v>
      </c>
      <c r="O63" t="n">
        <v>0</v>
      </c>
      <c r="P63" t="n">
        <v>0</v>
      </c>
      <c r="Q63" t="n">
        <v>1</v>
      </c>
      <c r="R63" s="2" t="inlineStr">
        <is>
          <t>Flagellkvastmossa</t>
        </is>
      </c>
      <c r="S63">
        <f>HYPERLINK("https://klasma.github.io/Logging_1861/artfynd/A 9679-2024 artfynd.xlsx", "A 9679-2024")</f>
        <v/>
      </c>
      <c r="T63">
        <f>HYPERLINK("https://klasma.github.io/Logging_1861/kartor/A 9679-2024 karta.png", "A 9679-2024")</f>
        <v/>
      </c>
      <c r="V63">
        <f>HYPERLINK("https://klasma.github.io/Logging_1861/klagomål/A 9679-2024 FSC-klagomål.docx", "A 9679-2024")</f>
        <v/>
      </c>
      <c r="W63">
        <f>HYPERLINK("https://klasma.github.io/Logging_1861/klagomålsmail/A 9679-2024 FSC-klagomål mail.docx", "A 9679-2024")</f>
        <v/>
      </c>
      <c r="X63">
        <f>HYPERLINK("https://klasma.github.io/Logging_1861/tillsyn/A 9679-2024 tillsynsbegäran.docx", "A 9679-2024")</f>
        <v/>
      </c>
      <c r="Y63">
        <f>HYPERLINK("https://klasma.github.io/Logging_1861/tillsynsmail/A 9679-2024 tillsynsbegäran mail.docx", "A 9679-2024")</f>
        <v/>
      </c>
    </row>
    <row r="64" ht="15" customHeight="1">
      <c r="A64" t="inlineStr">
        <is>
          <t>A 14064-2024</t>
        </is>
      </c>
      <c r="B64" s="1" t="n">
        <v>45392</v>
      </c>
      <c r="C64" s="1" t="n">
        <v>45736</v>
      </c>
      <c r="D64" t="inlineStr">
        <is>
          <t>ÖREBRO LÄN</t>
        </is>
      </c>
      <c r="E64" t="inlineStr">
        <is>
          <t>HALLSBERG</t>
        </is>
      </c>
      <c r="G64" t="n">
        <v>4</v>
      </c>
      <c r="H64" t="n">
        <v>1</v>
      </c>
      <c r="I64" t="n">
        <v>0</v>
      </c>
      <c r="J64" t="n">
        <v>0</v>
      </c>
      <c r="K64" t="n">
        <v>0</v>
      </c>
      <c r="L64" t="n">
        <v>0</v>
      </c>
      <c r="M64" t="n">
        <v>0</v>
      </c>
      <c r="N64" t="n">
        <v>0</v>
      </c>
      <c r="O64" t="n">
        <v>0</v>
      </c>
      <c r="P64" t="n">
        <v>0</v>
      </c>
      <c r="Q64" t="n">
        <v>1</v>
      </c>
      <c r="R64" s="2" t="inlineStr">
        <is>
          <t>Blåsippa</t>
        </is>
      </c>
      <c r="S64">
        <f>HYPERLINK("https://klasma.github.io/Logging_1861/artfynd/A 14064-2024 artfynd.xlsx", "A 14064-2024")</f>
        <v/>
      </c>
      <c r="T64">
        <f>HYPERLINK("https://klasma.github.io/Logging_1861/kartor/A 14064-2024 karta.png", "A 14064-2024")</f>
        <v/>
      </c>
      <c r="V64">
        <f>HYPERLINK("https://klasma.github.io/Logging_1861/klagomål/A 14064-2024 FSC-klagomål.docx", "A 14064-2024")</f>
        <v/>
      </c>
      <c r="W64">
        <f>HYPERLINK("https://klasma.github.io/Logging_1861/klagomålsmail/A 14064-2024 FSC-klagomål mail.docx", "A 14064-2024")</f>
        <v/>
      </c>
      <c r="X64">
        <f>HYPERLINK("https://klasma.github.io/Logging_1861/tillsyn/A 14064-2024 tillsynsbegäran.docx", "A 14064-2024")</f>
        <v/>
      </c>
      <c r="Y64">
        <f>HYPERLINK("https://klasma.github.io/Logging_1861/tillsynsmail/A 14064-2024 tillsynsbegäran mail.docx", "A 14064-2024")</f>
        <v/>
      </c>
    </row>
    <row r="65" ht="15" customHeight="1">
      <c r="A65" t="inlineStr">
        <is>
          <t>A 14620-2024</t>
        </is>
      </c>
      <c r="B65" s="1" t="n">
        <v>45397</v>
      </c>
      <c r="C65" s="1" t="n">
        <v>45736</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14620-2024 artfynd.xlsx", "A 14620-2024")</f>
        <v/>
      </c>
      <c r="T65">
        <f>HYPERLINK("https://klasma.github.io/Logging_1861/kartor/A 14620-2024 karta.png", "A 14620-2024")</f>
        <v/>
      </c>
      <c r="V65">
        <f>HYPERLINK("https://klasma.github.io/Logging_1861/klagomål/A 14620-2024 FSC-klagomål.docx", "A 14620-2024")</f>
        <v/>
      </c>
      <c r="W65">
        <f>HYPERLINK("https://klasma.github.io/Logging_1861/klagomålsmail/A 14620-2024 FSC-klagomål mail.docx", "A 14620-2024")</f>
        <v/>
      </c>
      <c r="X65">
        <f>HYPERLINK("https://klasma.github.io/Logging_1861/tillsyn/A 14620-2024 tillsynsbegäran.docx", "A 14620-2024")</f>
        <v/>
      </c>
      <c r="Y65">
        <f>HYPERLINK("https://klasma.github.io/Logging_1861/tillsynsmail/A 14620-2024 tillsynsbegäran mail.docx", "A 14620-2024")</f>
        <v/>
      </c>
    </row>
    <row r="66" ht="15" customHeight="1">
      <c r="A66" t="inlineStr">
        <is>
          <t>A 14619-2024</t>
        </is>
      </c>
      <c r="B66" s="1" t="n">
        <v>45397</v>
      </c>
      <c r="C66" s="1" t="n">
        <v>45736</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14619-2024 artfynd.xlsx", "A 14619-2024")</f>
        <v/>
      </c>
      <c r="T66">
        <f>HYPERLINK("https://klasma.github.io/Logging_1861/kartor/A 14619-2024 karta.png", "A 14619-2024")</f>
        <v/>
      </c>
      <c r="V66">
        <f>HYPERLINK("https://klasma.github.io/Logging_1861/klagomål/A 14619-2024 FSC-klagomål.docx", "A 14619-2024")</f>
        <v/>
      </c>
      <c r="W66">
        <f>HYPERLINK("https://klasma.github.io/Logging_1861/klagomålsmail/A 14619-2024 FSC-klagomål mail.docx", "A 14619-2024")</f>
        <v/>
      </c>
      <c r="X66">
        <f>HYPERLINK("https://klasma.github.io/Logging_1861/tillsyn/A 14619-2024 tillsynsbegäran.docx", "A 14619-2024")</f>
        <v/>
      </c>
      <c r="Y66">
        <f>HYPERLINK("https://klasma.github.io/Logging_1861/tillsynsmail/A 14619-2024 tillsynsbegäran mail.docx", "A 14619-2024")</f>
        <v/>
      </c>
    </row>
    <row r="67" ht="15" customHeight="1">
      <c r="A67" t="inlineStr">
        <is>
          <t>A 21314-2024</t>
        </is>
      </c>
      <c r="B67" s="1" t="n">
        <v>45440</v>
      </c>
      <c r="C67" s="1" t="n">
        <v>45736</v>
      </c>
      <c r="D67" t="inlineStr">
        <is>
          <t>ÖREBRO LÄN</t>
        </is>
      </c>
      <c r="E67" t="inlineStr">
        <is>
          <t>HALLSBERG</t>
        </is>
      </c>
      <c r="F67" t="inlineStr">
        <is>
          <t>Övriga Aktiebolag</t>
        </is>
      </c>
      <c r="G67" t="n">
        <v>4.5</v>
      </c>
      <c r="H67" t="n">
        <v>1</v>
      </c>
      <c r="I67" t="n">
        <v>0</v>
      </c>
      <c r="J67" t="n">
        <v>0</v>
      </c>
      <c r="K67" t="n">
        <v>0</v>
      </c>
      <c r="L67" t="n">
        <v>0</v>
      </c>
      <c r="M67" t="n">
        <v>0</v>
      </c>
      <c r="N67" t="n">
        <v>0</v>
      </c>
      <c r="O67" t="n">
        <v>0</v>
      </c>
      <c r="P67" t="n">
        <v>0</v>
      </c>
      <c r="Q67" t="n">
        <v>1</v>
      </c>
      <c r="R67" s="2" t="inlineStr">
        <is>
          <t>Grönvit nattviol</t>
        </is>
      </c>
      <c r="S67">
        <f>HYPERLINK("https://klasma.github.io/Logging_1861/artfynd/A 21314-2024 artfynd.xlsx", "A 21314-2024")</f>
        <v/>
      </c>
      <c r="T67">
        <f>HYPERLINK("https://klasma.github.io/Logging_1861/kartor/A 21314-2024 karta.png", "A 21314-2024")</f>
        <v/>
      </c>
      <c r="V67">
        <f>HYPERLINK("https://klasma.github.io/Logging_1861/klagomål/A 21314-2024 FSC-klagomål.docx", "A 21314-2024")</f>
        <v/>
      </c>
      <c r="W67">
        <f>HYPERLINK("https://klasma.github.io/Logging_1861/klagomålsmail/A 21314-2024 FSC-klagomål mail.docx", "A 21314-2024")</f>
        <v/>
      </c>
      <c r="X67">
        <f>HYPERLINK("https://klasma.github.io/Logging_1861/tillsyn/A 21314-2024 tillsynsbegäran.docx", "A 21314-2024")</f>
        <v/>
      </c>
      <c r="Y67">
        <f>HYPERLINK("https://klasma.github.io/Logging_1861/tillsynsmail/A 21314-2024 tillsynsbegäran mail.docx", "A 21314-2024")</f>
        <v/>
      </c>
    </row>
    <row r="68" ht="15" customHeight="1">
      <c r="A68" t="inlineStr">
        <is>
          <t>A 32543-2024</t>
        </is>
      </c>
      <c r="B68" s="1" t="n">
        <v>45513</v>
      </c>
      <c r="C68" s="1" t="n">
        <v>45736</v>
      </c>
      <c r="D68" t="inlineStr">
        <is>
          <t>ÖREBRO LÄN</t>
        </is>
      </c>
      <c r="E68" t="inlineStr">
        <is>
          <t>HALLSBERG</t>
        </is>
      </c>
      <c r="G68" t="n">
        <v>10</v>
      </c>
      <c r="H68" t="n">
        <v>1</v>
      </c>
      <c r="I68" t="n">
        <v>0</v>
      </c>
      <c r="J68" t="n">
        <v>1</v>
      </c>
      <c r="K68" t="n">
        <v>0</v>
      </c>
      <c r="L68" t="n">
        <v>0</v>
      </c>
      <c r="M68" t="n">
        <v>0</v>
      </c>
      <c r="N68" t="n">
        <v>0</v>
      </c>
      <c r="O68" t="n">
        <v>1</v>
      </c>
      <c r="P68" t="n">
        <v>0</v>
      </c>
      <c r="Q68" t="n">
        <v>1</v>
      </c>
      <c r="R68" s="2" t="inlineStr">
        <is>
          <t>Talltita</t>
        </is>
      </c>
      <c r="S68">
        <f>HYPERLINK("https://klasma.github.io/Logging_1861/artfynd/A 32543-2024 artfynd.xlsx", "A 32543-2024")</f>
        <v/>
      </c>
      <c r="T68">
        <f>HYPERLINK("https://klasma.github.io/Logging_1861/kartor/A 32543-2024 karta.png", "A 32543-2024")</f>
        <v/>
      </c>
      <c r="V68">
        <f>HYPERLINK("https://klasma.github.io/Logging_1861/klagomål/A 32543-2024 FSC-klagomål.docx", "A 32543-2024")</f>
        <v/>
      </c>
      <c r="W68">
        <f>HYPERLINK("https://klasma.github.io/Logging_1861/klagomålsmail/A 32543-2024 FSC-klagomål mail.docx", "A 32543-2024")</f>
        <v/>
      </c>
      <c r="X68">
        <f>HYPERLINK("https://klasma.github.io/Logging_1861/tillsyn/A 32543-2024 tillsynsbegäran.docx", "A 32543-2024")</f>
        <v/>
      </c>
      <c r="Y68">
        <f>HYPERLINK("https://klasma.github.io/Logging_1861/tillsynsmail/A 32543-2024 tillsynsbegäran mail.docx", "A 32543-2024")</f>
        <v/>
      </c>
      <c r="Z68">
        <f>HYPERLINK("https://klasma.github.io/Logging_1861/fåglar/A 32543-2024 prioriterade fågelarter.docx", "A 32543-2024")</f>
        <v/>
      </c>
    </row>
    <row r="69" ht="15" customHeight="1">
      <c r="A69" t="inlineStr">
        <is>
          <t>A 32547-2024</t>
        </is>
      </c>
      <c r="B69" s="1" t="n">
        <v>45513</v>
      </c>
      <c r="C69" s="1" t="n">
        <v>45736</v>
      </c>
      <c r="D69" t="inlineStr">
        <is>
          <t>ÖREBRO LÄN</t>
        </is>
      </c>
      <c r="E69" t="inlineStr">
        <is>
          <t>HALLSBERG</t>
        </is>
      </c>
      <c r="G69" t="n">
        <v>3</v>
      </c>
      <c r="H69" t="n">
        <v>0</v>
      </c>
      <c r="I69" t="n">
        <v>1</v>
      </c>
      <c r="J69" t="n">
        <v>0</v>
      </c>
      <c r="K69" t="n">
        <v>0</v>
      </c>
      <c r="L69" t="n">
        <v>0</v>
      </c>
      <c r="M69" t="n">
        <v>0</v>
      </c>
      <c r="N69" t="n">
        <v>0</v>
      </c>
      <c r="O69" t="n">
        <v>0</v>
      </c>
      <c r="P69" t="n">
        <v>0</v>
      </c>
      <c r="Q69" t="n">
        <v>1</v>
      </c>
      <c r="R69" s="2" t="inlineStr">
        <is>
          <t>Strutbräken</t>
        </is>
      </c>
      <c r="S69">
        <f>HYPERLINK("https://klasma.github.io/Logging_1861/artfynd/A 32547-2024 artfynd.xlsx", "A 32547-2024")</f>
        <v/>
      </c>
      <c r="T69">
        <f>HYPERLINK("https://klasma.github.io/Logging_1861/kartor/A 32547-2024 karta.png", "A 32547-2024")</f>
        <v/>
      </c>
      <c r="V69">
        <f>HYPERLINK("https://klasma.github.io/Logging_1861/klagomål/A 32547-2024 FSC-klagomål.docx", "A 32547-2024")</f>
        <v/>
      </c>
      <c r="W69">
        <f>HYPERLINK("https://klasma.github.io/Logging_1861/klagomålsmail/A 32547-2024 FSC-klagomål mail.docx", "A 32547-2024")</f>
        <v/>
      </c>
      <c r="X69">
        <f>HYPERLINK("https://klasma.github.io/Logging_1861/tillsyn/A 32547-2024 tillsynsbegäran.docx", "A 32547-2024")</f>
        <v/>
      </c>
      <c r="Y69">
        <f>HYPERLINK("https://klasma.github.io/Logging_1861/tillsynsmail/A 32547-2024 tillsynsbegäran mail.docx", "A 32547-2024")</f>
        <v/>
      </c>
    </row>
    <row r="70" ht="15" customHeight="1">
      <c r="A70" t="inlineStr">
        <is>
          <t>A 46325-2024</t>
        </is>
      </c>
      <c r="B70" s="1" t="n">
        <v>45581</v>
      </c>
      <c r="C70" s="1" t="n">
        <v>45736</v>
      </c>
      <c r="D70" t="inlineStr">
        <is>
          <t>ÖREBRO LÄN</t>
        </is>
      </c>
      <c r="E70" t="inlineStr">
        <is>
          <t>HALLSBERG</t>
        </is>
      </c>
      <c r="F70" t="inlineStr">
        <is>
          <t>Övriga Aktiebolag</t>
        </is>
      </c>
      <c r="G70" t="n">
        <v>1.9</v>
      </c>
      <c r="H70" t="n">
        <v>1</v>
      </c>
      <c r="I70" t="n">
        <v>0</v>
      </c>
      <c r="J70" t="n">
        <v>0</v>
      </c>
      <c r="K70" t="n">
        <v>0</v>
      </c>
      <c r="L70" t="n">
        <v>0</v>
      </c>
      <c r="M70" t="n">
        <v>0</v>
      </c>
      <c r="N70" t="n">
        <v>0</v>
      </c>
      <c r="O70" t="n">
        <v>0</v>
      </c>
      <c r="P70" t="n">
        <v>0</v>
      </c>
      <c r="Q70" t="n">
        <v>1</v>
      </c>
      <c r="R70" s="2" t="inlineStr">
        <is>
          <t>Grönvit nattviol</t>
        </is>
      </c>
      <c r="S70">
        <f>HYPERLINK("https://klasma.github.io/Logging_1861/artfynd/A 46325-2024 artfynd.xlsx", "A 46325-2024")</f>
        <v/>
      </c>
      <c r="T70">
        <f>HYPERLINK("https://klasma.github.io/Logging_1861/kartor/A 46325-2024 karta.png", "A 46325-2024")</f>
        <v/>
      </c>
      <c r="V70">
        <f>HYPERLINK("https://klasma.github.io/Logging_1861/klagomål/A 46325-2024 FSC-klagomål.docx", "A 46325-2024")</f>
        <v/>
      </c>
      <c r="W70">
        <f>HYPERLINK("https://klasma.github.io/Logging_1861/klagomålsmail/A 46325-2024 FSC-klagomål mail.docx", "A 46325-2024")</f>
        <v/>
      </c>
      <c r="X70">
        <f>HYPERLINK("https://klasma.github.io/Logging_1861/tillsyn/A 46325-2024 tillsynsbegäran.docx", "A 46325-2024")</f>
        <v/>
      </c>
      <c r="Y70">
        <f>HYPERLINK("https://klasma.github.io/Logging_1861/tillsynsmail/A 46325-2024 tillsynsbegäran mail.docx", "A 46325-2024")</f>
        <v/>
      </c>
    </row>
    <row r="71" ht="15" customHeight="1">
      <c r="A71" t="inlineStr">
        <is>
          <t>A 7470-2025</t>
        </is>
      </c>
      <c r="B71" s="1" t="n">
        <v>45705</v>
      </c>
      <c r="C71" s="1" t="n">
        <v>45736</v>
      </c>
      <c r="D71" t="inlineStr">
        <is>
          <t>ÖREBRO LÄN</t>
        </is>
      </c>
      <c r="E71" t="inlineStr">
        <is>
          <t>HALLSBERG</t>
        </is>
      </c>
      <c r="G71" t="n">
        <v>8.5</v>
      </c>
      <c r="H71" t="n">
        <v>0</v>
      </c>
      <c r="I71" t="n">
        <v>1</v>
      </c>
      <c r="J71" t="n">
        <v>0</v>
      </c>
      <c r="K71" t="n">
        <v>0</v>
      </c>
      <c r="L71" t="n">
        <v>0</v>
      </c>
      <c r="M71" t="n">
        <v>0</v>
      </c>
      <c r="N71" t="n">
        <v>0</v>
      </c>
      <c r="O71" t="n">
        <v>0</v>
      </c>
      <c r="P71" t="n">
        <v>0</v>
      </c>
      <c r="Q71" t="n">
        <v>1</v>
      </c>
      <c r="R71" s="2" t="inlineStr">
        <is>
          <t>Dropptaggsvamp</t>
        </is>
      </c>
      <c r="S71">
        <f>HYPERLINK("https://klasma.github.io/Logging_1861/artfynd/A 7470-2025 artfynd.xlsx", "A 7470-2025")</f>
        <v/>
      </c>
      <c r="T71">
        <f>HYPERLINK("https://klasma.github.io/Logging_1861/kartor/A 7470-2025 karta.png", "A 7470-2025")</f>
        <v/>
      </c>
      <c r="V71">
        <f>HYPERLINK("https://klasma.github.io/Logging_1861/klagomål/A 7470-2025 FSC-klagomål.docx", "A 7470-2025")</f>
        <v/>
      </c>
      <c r="W71">
        <f>HYPERLINK("https://klasma.github.io/Logging_1861/klagomålsmail/A 7470-2025 FSC-klagomål mail.docx", "A 7470-2025")</f>
        <v/>
      </c>
      <c r="X71">
        <f>HYPERLINK("https://klasma.github.io/Logging_1861/tillsyn/A 7470-2025 tillsynsbegäran.docx", "A 7470-2025")</f>
        <v/>
      </c>
      <c r="Y71">
        <f>HYPERLINK("https://klasma.github.io/Logging_1861/tillsynsmail/A 7470-2025 tillsynsbegäran mail.docx", "A 7470-2025")</f>
        <v/>
      </c>
    </row>
    <row r="72" ht="15" customHeight="1">
      <c r="A72" t="inlineStr">
        <is>
          <t>A 10247-2025</t>
        </is>
      </c>
      <c r="B72" s="1" t="n">
        <v>45720</v>
      </c>
      <c r="C72" s="1" t="n">
        <v>45736</v>
      </c>
      <c r="D72" t="inlineStr">
        <is>
          <t>ÖREBRO LÄN</t>
        </is>
      </c>
      <c r="E72" t="inlineStr">
        <is>
          <t>HALLSBERG</t>
        </is>
      </c>
      <c r="G72" t="n">
        <v>1.5</v>
      </c>
      <c r="H72" t="n">
        <v>0</v>
      </c>
      <c r="I72" t="n">
        <v>0</v>
      </c>
      <c r="J72" t="n">
        <v>1</v>
      </c>
      <c r="K72" t="n">
        <v>0</v>
      </c>
      <c r="L72" t="n">
        <v>0</v>
      </c>
      <c r="M72" t="n">
        <v>0</v>
      </c>
      <c r="N72" t="n">
        <v>0</v>
      </c>
      <c r="O72" t="n">
        <v>1</v>
      </c>
      <c r="P72" t="n">
        <v>0</v>
      </c>
      <c r="Q72" t="n">
        <v>1</v>
      </c>
      <c r="R72" s="2" t="inlineStr">
        <is>
          <t>Skogsklocka</t>
        </is>
      </c>
      <c r="S72">
        <f>HYPERLINK("https://klasma.github.io/Logging_1861/artfynd/A 10247-2025 artfynd.xlsx", "A 10247-2025")</f>
        <v/>
      </c>
      <c r="T72">
        <f>HYPERLINK("https://klasma.github.io/Logging_1861/kartor/A 10247-2025 karta.png", "A 10247-2025")</f>
        <v/>
      </c>
      <c r="V72">
        <f>HYPERLINK("https://klasma.github.io/Logging_1861/klagomål/A 10247-2025 FSC-klagomål.docx", "A 10247-2025")</f>
        <v/>
      </c>
      <c r="W72">
        <f>HYPERLINK("https://klasma.github.io/Logging_1861/klagomålsmail/A 10247-2025 FSC-klagomål mail.docx", "A 10247-2025")</f>
        <v/>
      </c>
      <c r="X72">
        <f>HYPERLINK("https://klasma.github.io/Logging_1861/tillsyn/A 10247-2025 tillsynsbegäran.docx", "A 10247-2025")</f>
        <v/>
      </c>
      <c r="Y72">
        <f>HYPERLINK("https://klasma.github.io/Logging_1861/tillsynsmail/A 10247-2025 tillsynsbegäran mail.docx", "A 10247-2025")</f>
        <v/>
      </c>
    </row>
    <row r="73" ht="15" customHeight="1">
      <c r="A73" t="inlineStr">
        <is>
          <t>A 11361-2025</t>
        </is>
      </c>
      <c r="B73" s="1" t="n">
        <v>45726</v>
      </c>
      <c r="C73" s="1" t="n">
        <v>45736</v>
      </c>
      <c r="D73" t="inlineStr">
        <is>
          <t>ÖREBRO LÄN</t>
        </is>
      </c>
      <c r="E73" t="inlineStr">
        <is>
          <t>HALLSBERG</t>
        </is>
      </c>
      <c r="F73" t="inlineStr">
        <is>
          <t>Sveaskog</t>
        </is>
      </c>
      <c r="G73" t="n">
        <v>11.7</v>
      </c>
      <c r="H73" t="n">
        <v>1</v>
      </c>
      <c r="I73" t="n">
        <v>0</v>
      </c>
      <c r="J73" t="n">
        <v>1</v>
      </c>
      <c r="K73" t="n">
        <v>0</v>
      </c>
      <c r="L73" t="n">
        <v>0</v>
      </c>
      <c r="M73" t="n">
        <v>0</v>
      </c>
      <c r="N73" t="n">
        <v>0</v>
      </c>
      <c r="O73" t="n">
        <v>1</v>
      </c>
      <c r="P73" t="n">
        <v>0</v>
      </c>
      <c r="Q73" t="n">
        <v>1</v>
      </c>
      <c r="R73" s="2" t="inlineStr">
        <is>
          <t>Järpe</t>
        </is>
      </c>
      <c r="S73">
        <f>HYPERLINK("https://klasma.github.io/Logging_1861/artfynd/A 11361-2025 artfynd.xlsx", "A 11361-2025")</f>
        <v/>
      </c>
      <c r="T73">
        <f>HYPERLINK("https://klasma.github.io/Logging_1861/kartor/A 11361-2025 karta.png", "A 11361-2025")</f>
        <v/>
      </c>
      <c r="V73">
        <f>HYPERLINK("https://klasma.github.io/Logging_1861/klagomål/A 11361-2025 FSC-klagomål.docx", "A 11361-2025")</f>
        <v/>
      </c>
      <c r="W73">
        <f>HYPERLINK("https://klasma.github.io/Logging_1861/klagomålsmail/A 11361-2025 FSC-klagomål mail.docx", "A 11361-2025")</f>
        <v/>
      </c>
      <c r="X73">
        <f>HYPERLINK("https://klasma.github.io/Logging_1861/tillsyn/A 11361-2025 tillsynsbegäran.docx", "A 11361-2025")</f>
        <v/>
      </c>
      <c r="Y73">
        <f>HYPERLINK("https://klasma.github.io/Logging_1861/tillsynsmail/A 11361-2025 tillsynsbegäran mail.docx", "A 11361-2025")</f>
        <v/>
      </c>
      <c r="Z73">
        <f>HYPERLINK("https://klasma.github.io/Logging_1861/fåglar/A 11361-2025 prioriterade fågelarter.docx", "A 11361-2025")</f>
        <v/>
      </c>
    </row>
    <row r="74" ht="15" customHeight="1">
      <c r="A74" t="inlineStr">
        <is>
          <t>A 17632-2019</t>
        </is>
      </c>
      <c r="B74" s="1" t="n">
        <v>43556</v>
      </c>
      <c r="C74" s="1" t="n">
        <v>45736</v>
      </c>
      <c r="D74" t="inlineStr">
        <is>
          <t>ÖREBRO LÄN</t>
        </is>
      </c>
      <c r="E74" t="inlineStr">
        <is>
          <t>HALLSBERG</t>
        </is>
      </c>
      <c r="G74" t="n">
        <v>3.6</v>
      </c>
      <c r="H74" t="n">
        <v>0</v>
      </c>
      <c r="I74" t="n">
        <v>0</v>
      </c>
      <c r="J74" t="n">
        <v>0</v>
      </c>
      <c r="K74" t="n">
        <v>0</v>
      </c>
      <c r="L74" t="n">
        <v>0</v>
      </c>
      <c r="M74" t="n">
        <v>0</v>
      </c>
      <c r="N74" t="n">
        <v>0</v>
      </c>
      <c r="O74" t="n">
        <v>0</v>
      </c>
      <c r="P74" t="n">
        <v>0</v>
      </c>
      <c r="Q74" t="n">
        <v>0</v>
      </c>
      <c r="R74" s="2" t="inlineStr"/>
    </row>
    <row r="75" ht="15" customHeight="1">
      <c r="A75" t="inlineStr">
        <is>
          <t>A 18331-2019</t>
        </is>
      </c>
      <c r="B75" s="1" t="n">
        <v>43558</v>
      </c>
      <c r="C75" s="1" t="n">
        <v>45736</v>
      </c>
      <c r="D75" t="inlineStr">
        <is>
          <t>ÖREBRO LÄN</t>
        </is>
      </c>
      <c r="E75" t="inlineStr">
        <is>
          <t>HALLSBERG</t>
        </is>
      </c>
      <c r="G75" t="n">
        <v>3.1</v>
      </c>
      <c r="H75" t="n">
        <v>0</v>
      </c>
      <c r="I75" t="n">
        <v>0</v>
      </c>
      <c r="J75" t="n">
        <v>0</v>
      </c>
      <c r="K75" t="n">
        <v>0</v>
      </c>
      <c r="L75" t="n">
        <v>0</v>
      </c>
      <c r="M75" t="n">
        <v>0</v>
      </c>
      <c r="N75" t="n">
        <v>0</v>
      </c>
      <c r="O75" t="n">
        <v>0</v>
      </c>
      <c r="P75" t="n">
        <v>0</v>
      </c>
      <c r="Q75" t="n">
        <v>0</v>
      </c>
      <c r="R75" s="2" t="inlineStr"/>
    </row>
    <row r="76" ht="15" customHeight="1">
      <c r="A76" t="inlineStr">
        <is>
          <t>A 20150-2019</t>
        </is>
      </c>
      <c r="B76" s="1" t="n">
        <v>43570</v>
      </c>
      <c r="C76" s="1" t="n">
        <v>45736</v>
      </c>
      <c r="D76" t="inlineStr">
        <is>
          <t>ÖREBRO LÄN</t>
        </is>
      </c>
      <c r="E76" t="inlineStr">
        <is>
          <t>HALLSBERG</t>
        </is>
      </c>
      <c r="G76" t="n">
        <v>5.8</v>
      </c>
      <c r="H76" t="n">
        <v>0</v>
      </c>
      <c r="I76" t="n">
        <v>0</v>
      </c>
      <c r="J76" t="n">
        <v>0</v>
      </c>
      <c r="K76" t="n">
        <v>0</v>
      </c>
      <c r="L76" t="n">
        <v>0</v>
      </c>
      <c r="M76" t="n">
        <v>0</v>
      </c>
      <c r="N76" t="n">
        <v>0</v>
      </c>
      <c r="O76" t="n">
        <v>0</v>
      </c>
      <c r="P76" t="n">
        <v>0</v>
      </c>
      <c r="Q76" t="n">
        <v>0</v>
      </c>
      <c r="R76" s="2" t="inlineStr"/>
    </row>
    <row r="77" ht="15" customHeight="1">
      <c r="A77" t="inlineStr">
        <is>
          <t>A 21409-2019</t>
        </is>
      </c>
      <c r="B77" s="1" t="n">
        <v>43580</v>
      </c>
      <c r="C77" s="1" t="n">
        <v>45736</v>
      </c>
      <c r="D77" t="inlineStr">
        <is>
          <t>ÖREBRO LÄN</t>
        </is>
      </c>
      <c r="E77" t="inlineStr">
        <is>
          <t>HALLSBERG</t>
        </is>
      </c>
      <c r="G77" t="n">
        <v>9.4</v>
      </c>
      <c r="H77" t="n">
        <v>0</v>
      </c>
      <c r="I77" t="n">
        <v>0</v>
      </c>
      <c r="J77" t="n">
        <v>0</v>
      </c>
      <c r="K77" t="n">
        <v>0</v>
      </c>
      <c r="L77" t="n">
        <v>0</v>
      </c>
      <c r="M77" t="n">
        <v>0</v>
      </c>
      <c r="N77" t="n">
        <v>0</v>
      </c>
      <c r="O77" t="n">
        <v>0</v>
      </c>
      <c r="P77" t="n">
        <v>0</v>
      </c>
      <c r="Q77" t="n">
        <v>0</v>
      </c>
      <c r="R77" s="2" t="inlineStr"/>
    </row>
    <row r="78" ht="15" customHeight="1">
      <c r="A78" t="inlineStr">
        <is>
          <t>A 22012-2019</t>
        </is>
      </c>
      <c r="B78" s="1" t="n">
        <v>43584</v>
      </c>
      <c r="C78" s="1" t="n">
        <v>45736</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22251-2019</t>
        </is>
      </c>
      <c r="B79" s="1" t="n">
        <v>43585</v>
      </c>
      <c r="C79" s="1" t="n">
        <v>45736</v>
      </c>
      <c r="D79" t="inlineStr">
        <is>
          <t>ÖREBRO LÄN</t>
        </is>
      </c>
      <c r="E79" t="inlineStr">
        <is>
          <t>HALLSBERG</t>
        </is>
      </c>
      <c r="G79" t="n">
        <v>2.8</v>
      </c>
      <c r="H79" t="n">
        <v>0</v>
      </c>
      <c r="I79" t="n">
        <v>0</v>
      </c>
      <c r="J79" t="n">
        <v>0</v>
      </c>
      <c r="K79" t="n">
        <v>0</v>
      </c>
      <c r="L79" t="n">
        <v>0</v>
      </c>
      <c r="M79" t="n">
        <v>0</v>
      </c>
      <c r="N79" t="n">
        <v>0</v>
      </c>
      <c r="O79" t="n">
        <v>0</v>
      </c>
      <c r="P79" t="n">
        <v>0</v>
      </c>
      <c r="Q79" t="n">
        <v>0</v>
      </c>
      <c r="R79" s="2" t="inlineStr"/>
    </row>
    <row r="80" ht="15" customHeight="1">
      <c r="A80" t="inlineStr">
        <is>
          <t>A 24729-2019</t>
        </is>
      </c>
      <c r="B80" s="1" t="n">
        <v>43601</v>
      </c>
      <c r="C80" s="1" t="n">
        <v>45736</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26435-2019</t>
        </is>
      </c>
      <c r="B81" s="1" t="n">
        <v>43607</v>
      </c>
      <c r="C81" s="1" t="n">
        <v>45736</v>
      </c>
      <c r="D81" t="inlineStr">
        <is>
          <t>ÖREBRO LÄN</t>
        </is>
      </c>
      <c r="E81" t="inlineStr">
        <is>
          <t>HALLSBERG</t>
        </is>
      </c>
      <c r="G81" t="n">
        <v>2.2</v>
      </c>
      <c r="H81" t="n">
        <v>0</v>
      </c>
      <c r="I81" t="n">
        <v>0</v>
      </c>
      <c r="J81" t="n">
        <v>0</v>
      </c>
      <c r="K81" t="n">
        <v>0</v>
      </c>
      <c r="L81" t="n">
        <v>0</v>
      </c>
      <c r="M81" t="n">
        <v>0</v>
      </c>
      <c r="N81" t="n">
        <v>0</v>
      </c>
      <c r="O81" t="n">
        <v>0</v>
      </c>
      <c r="P81" t="n">
        <v>0</v>
      </c>
      <c r="Q81" t="n">
        <v>0</v>
      </c>
      <c r="R81" s="2" t="inlineStr"/>
    </row>
    <row r="82" ht="15" customHeight="1">
      <c r="A82" t="inlineStr">
        <is>
          <t>A 30236-2019</t>
        </is>
      </c>
      <c r="B82" s="1" t="n">
        <v>43634</v>
      </c>
      <c r="C82" s="1" t="n">
        <v>45736</v>
      </c>
      <c r="D82" t="inlineStr">
        <is>
          <t>ÖREBRO LÄN</t>
        </is>
      </c>
      <c r="E82" t="inlineStr">
        <is>
          <t>HALLSBERG</t>
        </is>
      </c>
      <c r="G82" t="n">
        <v>1</v>
      </c>
      <c r="H82" t="n">
        <v>0</v>
      </c>
      <c r="I82" t="n">
        <v>0</v>
      </c>
      <c r="J82" t="n">
        <v>0</v>
      </c>
      <c r="K82" t="n">
        <v>0</v>
      </c>
      <c r="L82" t="n">
        <v>0</v>
      </c>
      <c r="M82" t="n">
        <v>0</v>
      </c>
      <c r="N82" t="n">
        <v>0</v>
      </c>
      <c r="O82" t="n">
        <v>0</v>
      </c>
      <c r="P82" t="n">
        <v>0</v>
      </c>
      <c r="Q82" t="n">
        <v>0</v>
      </c>
      <c r="R82" s="2" t="inlineStr"/>
    </row>
    <row r="83" ht="15" customHeight="1">
      <c r="A83" t="inlineStr">
        <is>
          <t>A 30347-2019</t>
        </is>
      </c>
      <c r="B83" s="1" t="n">
        <v>43634</v>
      </c>
      <c r="C83" s="1" t="n">
        <v>45736</v>
      </c>
      <c r="D83" t="inlineStr">
        <is>
          <t>ÖREBRO LÄN</t>
        </is>
      </c>
      <c r="E83" t="inlineStr">
        <is>
          <t>HALLSBERG</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34787-2019</t>
        </is>
      </c>
      <c r="B84" s="1" t="n">
        <v>43649</v>
      </c>
      <c r="C84" s="1" t="n">
        <v>45736</v>
      </c>
      <c r="D84" t="inlineStr">
        <is>
          <t>ÖREBRO LÄN</t>
        </is>
      </c>
      <c r="E84" t="inlineStr">
        <is>
          <t>HALLSBERG</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35682-2019</t>
        </is>
      </c>
      <c r="B85" s="1" t="n">
        <v>43654</v>
      </c>
      <c r="C85" s="1" t="n">
        <v>45736</v>
      </c>
      <c r="D85" t="inlineStr">
        <is>
          <t>ÖREBRO LÄN</t>
        </is>
      </c>
      <c r="E85" t="inlineStr">
        <is>
          <t>HALLSBERG</t>
        </is>
      </c>
      <c r="G85" t="n">
        <v>2</v>
      </c>
      <c r="H85" t="n">
        <v>0</v>
      </c>
      <c r="I85" t="n">
        <v>0</v>
      </c>
      <c r="J85" t="n">
        <v>0</v>
      </c>
      <c r="K85" t="n">
        <v>0</v>
      </c>
      <c r="L85" t="n">
        <v>0</v>
      </c>
      <c r="M85" t="n">
        <v>0</v>
      </c>
      <c r="N85" t="n">
        <v>0</v>
      </c>
      <c r="O85" t="n">
        <v>0</v>
      </c>
      <c r="P85" t="n">
        <v>0</v>
      </c>
      <c r="Q85" t="n">
        <v>0</v>
      </c>
      <c r="R85" s="2" t="inlineStr"/>
    </row>
    <row r="86" ht="15" customHeight="1">
      <c r="A86" t="inlineStr">
        <is>
          <t>A 35673-2019</t>
        </is>
      </c>
      <c r="B86" s="1" t="n">
        <v>43654</v>
      </c>
      <c r="C86" s="1" t="n">
        <v>45736</v>
      </c>
      <c r="D86" t="inlineStr">
        <is>
          <t>ÖREBRO LÄN</t>
        </is>
      </c>
      <c r="E86" t="inlineStr">
        <is>
          <t>HALLSBERG</t>
        </is>
      </c>
      <c r="G86" t="n">
        <v>1.2</v>
      </c>
      <c r="H86" t="n">
        <v>0</v>
      </c>
      <c r="I86" t="n">
        <v>0</v>
      </c>
      <c r="J86" t="n">
        <v>0</v>
      </c>
      <c r="K86" t="n">
        <v>0</v>
      </c>
      <c r="L86" t="n">
        <v>0</v>
      </c>
      <c r="M86" t="n">
        <v>0</v>
      </c>
      <c r="N86" t="n">
        <v>0</v>
      </c>
      <c r="O86" t="n">
        <v>0</v>
      </c>
      <c r="P86" t="n">
        <v>0</v>
      </c>
      <c r="Q86" t="n">
        <v>0</v>
      </c>
      <c r="R86" s="2" t="inlineStr"/>
    </row>
    <row r="87" ht="15" customHeight="1">
      <c r="A87" t="inlineStr">
        <is>
          <t>A 34279-2019</t>
        </is>
      </c>
      <c r="B87" s="1" t="n">
        <v>43655</v>
      </c>
      <c r="C87" s="1" t="n">
        <v>45736</v>
      </c>
      <c r="D87" t="inlineStr">
        <is>
          <t>ÖREBRO LÄN</t>
        </is>
      </c>
      <c r="E87" t="inlineStr">
        <is>
          <t>HALLSBERG</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35532-2019</t>
        </is>
      </c>
      <c r="B88" s="1" t="n">
        <v>43655</v>
      </c>
      <c r="C88" s="1" t="n">
        <v>45736</v>
      </c>
      <c r="D88" t="inlineStr">
        <is>
          <t>ÖREBRO LÄN</t>
        </is>
      </c>
      <c r="E88" t="inlineStr">
        <is>
          <t>HALLSBERG</t>
        </is>
      </c>
      <c r="G88" t="n">
        <v>8.800000000000001</v>
      </c>
      <c r="H88" t="n">
        <v>0</v>
      </c>
      <c r="I88" t="n">
        <v>0</v>
      </c>
      <c r="J88" t="n">
        <v>0</v>
      </c>
      <c r="K88" t="n">
        <v>0</v>
      </c>
      <c r="L88" t="n">
        <v>0</v>
      </c>
      <c r="M88" t="n">
        <v>0</v>
      </c>
      <c r="N88" t="n">
        <v>0</v>
      </c>
      <c r="O88" t="n">
        <v>0</v>
      </c>
      <c r="P88" t="n">
        <v>0</v>
      </c>
      <c r="Q88" t="n">
        <v>0</v>
      </c>
      <c r="R88" s="2" t="inlineStr"/>
    </row>
    <row r="89" ht="15" customHeight="1">
      <c r="A89" t="inlineStr">
        <is>
          <t>A 35662-2019</t>
        </is>
      </c>
      <c r="B89" s="1" t="n">
        <v>43655</v>
      </c>
      <c r="C89" s="1" t="n">
        <v>45736</v>
      </c>
      <c r="D89" t="inlineStr">
        <is>
          <t>ÖREBRO LÄN</t>
        </is>
      </c>
      <c r="E89" t="inlineStr">
        <is>
          <t>HALLSBERG</t>
        </is>
      </c>
      <c r="F89" t="inlineStr">
        <is>
          <t>Allmännings- och besparingsskogar</t>
        </is>
      </c>
      <c r="G89" t="n">
        <v>7.2</v>
      </c>
      <c r="H89" t="n">
        <v>0</v>
      </c>
      <c r="I89" t="n">
        <v>0</v>
      </c>
      <c r="J89" t="n">
        <v>0</v>
      </c>
      <c r="K89" t="n">
        <v>0</v>
      </c>
      <c r="L89" t="n">
        <v>0</v>
      </c>
      <c r="M89" t="n">
        <v>0</v>
      </c>
      <c r="N89" t="n">
        <v>0</v>
      </c>
      <c r="O89" t="n">
        <v>0</v>
      </c>
      <c r="P89" t="n">
        <v>0</v>
      </c>
      <c r="Q89" t="n">
        <v>0</v>
      </c>
      <c r="R89" s="2" t="inlineStr"/>
    </row>
    <row r="90" ht="15" customHeight="1">
      <c r="A90" t="inlineStr">
        <is>
          <t>A 34281-2019</t>
        </is>
      </c>
      <c r="B90" s="1" t="n">
        <v>43655</v>
      </c>
      <c r="C90" s="1" t="n">
        <v>45736</v>
      </c>
      <c r="D90" t="inlineStr">
        <is>
          <t>ÖREBRO LÄN</t>
        </is>
      </c>
      <c r="E90" t="inlineStr">
        <is>
          <t>HALLSBERG</t>
        </is>
      </c>
      <c r="F90" t="inlineStr">
        <is>
          <t>Allmännings- och besparingsskogar</t>
        </is>
      </c>
      <c r="G90" t="n">
        <v>3.3</v>
      </c>
      <c r="H90" t="n">
        <v>0</v>
      </c>
      <c r="I90" t="n">
        <v>0</v>
      </c>
      <c r="J90" t="n">
        <v>0</v>
      </c>
      <c r="K90" t="n">
        <v>0</v>
      </c>
      <c r="L90" t="n">
        <v>0</v>
      </c>
      <c r="M90" t="n">
        <v>0</v>
      </c>
      <c r="N90" t="n">
        <v>0</v>
      </c>
      <c r="O90" t="n">
        <v>0</v>
      </c>
      <c r="P90" t="n">
        <v>0</v>
      </c>
      <c r="Q90" t="n">
        <v>0</v>
      </c>
      <c r="R90" s="2" t="inlineStr"/>
      <c r="U90">
        <f>HYPERLINK("https://klasma.github.io/Logging_1861/knärot/A 34281-2019 karta knärot.png", "A 34281-2019")</f>
        <v/>
      </c>
      <c r="V90">
        <f>HYPERLINK("https://klasma.github.io/Logging_1861/klagomål/A 34281-2019 FSC-klagomål.docx", "A 34281-2019")</f>
        <v/>
      </c>
      <c r="W90">
        <f>HYPERLINK("https://klasma.github.io/Logging_1861/klagomålsmail/A 34281-2019 FSC-klagomål mail.docx", "A 34281-2019")</f>
        <v/>
      </c>
      <c r="X90">
        <f>HYPERLINK("https://klasma.github.io/Logging_1861/tillsyn/A 34281-2019 tillsynsbegäran.docx", "A 34281-2019")</f>
        <v/>
      </c>
      <c r="Y90">
        <f>HYPERLINK("https://klasma.github.io/Logging_1861/tillsynsmail/A 34281-2019 tillsynsbegäran mail.docx", "A 34281-2019")</f>
        <v/>
      </c>
    </row>
    <row r="91" ht="15" customHeight="1">
      <c r="A91" t="inlineStr">
        <is>
          <t>A 35665-2019</t>
        </is>
      </c>
      <c r="B91" s="1" t="n">
        <v>43655</v>
      </c>
      <c r="C91" s="1" t="n">
        <v>45736</v>
      </c>
      <c r="D91" t="inlineStr">
        <is>
          <t>ÖREBRO LÄN</t>
        </is>
      </c>
      <c r="E91" t="inlineStr">
        <is>
          <t>HALLSBERG</t>
        </is>
      </c>
      <c r="F91" t="inlineStr">
        <is>
          <t>Allmännings- och besparingsskogar</t>
        </is>
      </c>
      <c r="G91" t="n">
        <v>5.2</v>
      </c>
      <c r="H91" t="n">
        <v>0</v>
      </c>
      <c r="I91" t="n">
        <v>0</v>
      </c>
      <c r="J91" t="n">
        <v>0</v>
      </c>
      <c r="K91" t="n">
        <v>0</v>
      </c>
      <c r="L91" t="n">
        <v>0</v>
      </c>
      <c r="M91" t="n">
        <v>0</v>
      </c>
      <c r="N91" t="n">
        <v>0</v>
      </c>
      <c r="O91" t="n">
        <v>0</v>
      </c>
      <c r="P91" t="n">
        <v>0</v>
      </c>
      <c r="Q91" t="n">
        <v>0</v>
      </c>
      <c r="R91" s="2" t="inlineStr"/>
    </row>
    <row r="92" ht="15" customHeight="1">
      <c r="A92" t="inlineStr">
        <is>
          <t>A 35659-2019</t>
        </is>
      </c>
      <c r="B92" s="1" t="n">
        <v>43655</v>
      </c>
      <c r="C92" s="1" t="n">
        <v>45736</v>
      </c>
      <c r="D92" t="inlineStr">
        <is>
          <t>ÖREBRO LÄN</t>
        </is>
      </c>
      <c r="E92" t="inlineStr">
        <is>
          <t>HALLSBERG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34277-2019</t>
        </is>
      </c>
      <c r="B93" s="1" t="n">
        <v>43655</v>
      </c>
      <c r="C93" s="1" t="n">
        <v>45736</v>
      </c>
      <c r="D93" t="inlineStr">
        <is>
          <t>ÖREBRO LÄN</t>
        </is>
      </c>
      <c r="E93" t="inlineStr">
        <is>
          <t>HALLSBERG</t>
        </is>
      </c>
      <c r="F93" t="inlineStr">
        <is>
          <t>Allmännings- och besparingsskogar</t>
        </is>
      </c>
      <c r="G93" t="n">
        <v>1.4</v>
      </c>
      <c r="H93" t="n">
        <v>0</v>
      </c>
      <c r="I93" t="n">
        <v>0</v>
      </c>
      <c r="J93" t="n">
        <v>0</v>
      </c>
      <c r="K93" t="n">
        <v>0</v>
      </c>
      <c r="L93" t="n">
        <v>0</v>
      </c>
      <c r="M93" t="n">
        <v>0</v>
      </c>
      <c r="N93" t="n">
        <v>0</v>
      </c>
      <c r="O93" t="n">
        <v>0</v>
      </c>
      <c r="P93" t="n">
        <v>0</v>
      </c>
      <c r="Q93" t="n">
        <v>0</v>
      </c>
      <c r="R93" s="2" t="inlineStr"/>
    </row>
    <row r="94" ht="15" customHeight="1">
      <c r="A94" t="inlineStr">
        <is>
          <t>A 37494-2019</t>
        </is>
      </c>
      <c r="B94" s="1" t="n">
        <v>43679</v>
      </c>
      <c r="C94" s="1" t="n">
        <v>45736</v>
      </c>
      <c r="D94" t="inlineStr">
        <is>
          <t>ÖREBRO LÄN</t>
        </is>
      </c>
      <c r="E94" t="inlineStr">
        <is>
          <t>HALLSBERG</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37493-2019</t>
        </is>
      </c>
      <c r="B95" s="1" t="n">
        <v>43679</v>
      </c>
      <c r="C95" s="1" t="n">
        <v>45736</v>
      </c>
      <c r="D95" t="inlineStr">
        <is>
          <t>ÖREBRO LÄN</t>
        </is>
      </c>
      <c r="E95" t="inlineStr">
        <is>
          <t>HALLSBERG</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37495-2019</t>
        </is>
      </c>
      <c r="B96" s="1" t="n">
        <v>43679</v>
      </c>
      <c r="C96" s="1" t="n">
        <v>45736</v>
      </c>
      <c r="D96" t="inlineStr">
        <is>
          <t>ÖREBRO LÄN</t>
        </is>
      </c>
      <c r="E96" t="inlineStr">
        <is>
          <t>HALLSBERG</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37474-2019</t>
        </is>
      </c>
      <c r="B97" s="1" t="n">
        <v>43679</v>
      </c>
      <c r="C97" s="1" t="n">
        <v>45736</v>
      </c>
      <c r="D97" t="inlineStr">
        <is>
          <t>ÖREBRO LÄN</t>
        </is>
      </c>
      <c r="E97" t="inlineStr">
        <is>
          <t>HALLSBERG</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37926-2019</t>
        </is>
      </c>
      <c r="B98" s="1" t="n">
        <v>43683</v>
      </c>
      <c r="C98" s="1" t="n">
        <v>45736</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39879-2019</t>
        </is>
      </c>
      <c r="B99" s="1" t="n">
        <v>43692</v>
      </c>
      <c r="C99" s="1" t="n">
        <v>45736</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41182-2019</t>
        </is>
      </c>
      <c r="B100" s="1" t="n">
        <v>43698</v>
      </c>
      <c r="C100" s="1" t="n">
        <v>45736</v>
      </c>
      <c r="D100" t="inlineStr">
        <is>
          <t>ÖREBRO LÄN</t>
        </is>
      </c>
      <c r="E100" t="inlineStr">
        <is>
          <t>HALLSBERG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41250-2019</t>
        </is>
      </c>
      <c r="B101" s="1" t="n">
        <v>43698</v>
      </c>
      <c r="C101" s="1" t="n">
        <v>45736</v>
      </c>
      <c r="D101" t="inlineStr">
        <is>
          <t>ÖREBRO LÄN</t>
        </is>
      </c>
      <c r="E101" t="inlineStr">
        <is>
          <t>HALLSBERG</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41174-2019</t>
        </is>
      </c>
      <c r="B102" s="1" t="n">
        <v>43698</v>
      </c>
      <c r="C102" s="1" t="n">
        <v>45736</v>
      </c>
      <c r="D102" t="inlineStr">
        <is>
          <t>ÖREBRO LÄN</t>
        </is>
      </c>
      <c r="E102" t="inlineStr">
        <is>
          <t>HALLSBERG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41184-2019</t>
        </is>
      </c>
      <c r="B103" s="1" t="n">
        <v>43698</v>
      </c>
      <c r="C103" s="1" t="n">
        <v>45736</v>
      </c>
      <c r="D103" t="inlineStr">
        <is>
          <t>ÖREBRO LÄN</t>
        </is>
      </c>
      <c r="E103" t="inlineStr">
        <is>
          <t>HALLSBERG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41345-2019</t>
        </is>
      </c>
      <c r="B104" s="1" t="n">
        <v>43698</v>
      </c>
      <c r="C104" s="1" t="n">
        <v>45736</v>
      </c>
      <c r="D104" t="inlineStr">
        <is>
          <t>ÖREBRO LÄN</t>
        </is>
      </c>
      <c r="E104" t="inlineStr">
        <is>
          <t>HALLSBERG</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41348-2019</t>
        </is>
      </c>
      <c r="B105" s="1" t="n">
        <v>43698</v>
      </c>
      <c r="C105" s="1" t="n">
        <v>45736</v>
      </c>
      <c r="D105" t="inlineStr">
        <is>
          <t>ÖREBRO LÄN</t>
        </is>
      </c>
      <c r="E105" t="inlineStr">
        <is>
          <t>HALLSBERG</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41864-2019</t>
        </is>
      </c>
      <c r="B106" s="1" t="n">
        <v>43700</v>
      </c>
      <c r="C106" s="1" t="n">
        <v>45736</v>
      </c>
      <c r="D106" t="inlineStr">
        <is>
          <t>ÖREBRO LÄN</t>
        </is>
      </c>
      <c r="E106" t="inlineStr">
        <is>
          <t>HALLSBERG</t>
        </is>
      </c>
      <c r="G106" t="n">
        <v>1.7</v>
      </c>
      <c r="H106" t="n">
        <v>0</v>
      </c>
      <c r="I106" t="n">
        <v>0</v>
      </c>
      <c r="J106" t="n">
        <v>0</v>
      </c>
      <c r="K106" t="n">
        <v>0</v>
      </c>
      <c r="L106" t="n">
        <v>0</v>
      </c>
      <c r="M106" t="n">
        <v>0</v>
      </c>
      <c r="N106" t="n">
        <v>0</v>
      </c>
      <c r="O106" t="n">
        <v>0</v>
      </c>
      <c r="P106" t="n">
        <v>0</v>
      </c>
      <c r="Q106" t="n">
        <v>0</v>
      </c>
      <c r="R106" s="2" t="inlineStr"/>
    </row>
    <row r="107" ht="15" customHeight="1">
      <c r="A107" t="inlineStr">
        <is>
          <t>A 42281-2019</t>
        </is>
      </c>
      <c r="B107" s="1" t="n">
        <v>43703</v>
      </c>
      <c r="C107" s="1" t="n">
        <v>45736</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43828-2019</t>
        </is>
      </c>
      <c r="B108" s="1" t="n">
        <v>43704</v>
      </c>
      <c r="C108" s="1" t="n">
        <v>45736</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43642-2019</t>
        </is>
      </c>
      <c r="B109" s="1" t="n">
        <v>43704</v>
      </c>
      <c r="C109" s="1" t="n">
        <v>45736</v>
      </c>
      <c r="D109" t="inlineStr">
        <is>
          <t>ÖREBRO LÄN</t>
        </is>
      </c>
      <c r="E109" t="inlineStr">
        <is>
          <t>HALLSBERG</t>
        </is>
      </c>
      <c r="G109" t="n">
        <v>6.9</v>
      </c>
      <c r="H109" t="n">
        <v>0</v>
      </c>
      <c r="I109" t="n">
        <v>0</v>
      </c>
      <c r="J109" t="n">
        <v>0</v>
      </c>
      <c r="K109" t="n">
        <v>0</v>
      </c>
      <c r="L109" t="n">
        <v>0</v>
      </c>
      <c r="M109" t="n">
        <v>0</v>
      </c>
      <c r="N109" t="n">
        <v>0</v>
      </c>
      <c r="O109" t="n">
        <v>0</v>
      </c>
      <c r="P109" t="n">
        <v>0</v>
      </c>
      <c r="Q109" t="n">
        <v>0</v>
      </c>
      <c r="R109" s="2" t="inlineStr"/>
    </row>
    <row r="110" ht="15" customHeight="1">
      <c r="A110" t="inlineStr">
        <is>
          <t>A 43646-2019</t>
        </is>
      </c>
      <c r="B110" s="1" t="n">
        <v>43704</v>
      </c>
      <c r="C110" s="1" t="n">
        <v>45736</v>
      </c>
      <c r="D110" t="inlineStr">
        <is>
          <t>ÖREBRO LÄN</t>
        </is>
      </c>
      <c r="E110" t="inlineStr">
        <is>
          <t>HALLSBERG</t>
        </is>
      </c>
      <c r="G110" t="n">
        <v>6.5</v>
      </c>
      <c r="H110" t="n">
        <v>0</v>
      </c>
      <c r="I110" t="n">
        <v>0</v>
      </c>
      <c r="J110" t="n">
        <v>0</v>
      </c>
      <c r="K110" t="n">
        <v>0</v>
      </c>
      <c r="L110" t="n">
        <v>0</v>
      </c>
      <c r="M110" t="n">
        <v>0</v>
      </c>
      <c r="N110" t="n">
        <v>0</v>
      </c>
      <c r="O110" t="n">
        <v>0</v>
      </c>
      <c r="P110" t="n">
        <v>0</v>
      </c>
      <c r="Q110" t="n">
        <v>0</v>
      </c>
      <c r="R110" s="2" t="inlineStr"/>
    </row>
    <row r="111" ht="15" customHeight="1">
      <c r="A111" t="inlineStr">
        <is>
          <t>A 43822-2019</t>
        </is>
      </c>
      <c r="B111" s="1" t="n">
        <v>43704</v>
      </c>
      <c r="C111" s="1" t="n">
        <v>45736</v>
      </c>
      <c r="D111" t="inlineStr">
        <is>
          <t>ÖREBRO LÄN</t>
        </is>
      </c>
      <c r="E111" t="inlineStr">
        <is>
          <t>HALLSBERG</t>
        </is>
      </c>
      <c r="G111" t="n">
        <v>4.7</v>
      </c>
      <c r="H111" t="n">
        <v>0</v>
      </c>
      <c r="I111" t="n">
        <v>0</v>
      </c>
      <c r="J111" t="n">
        <v>0</v>
      </c>
      <c r="K111" t="n">
        <v>0</v>
      </c>
      <c r="L111" t="n">
        <v>0</v>
      </c>
      <c r="M111" t="n">
        <v>0</v>
      </c>
      <c r="N111" t="n">
        <v>0</v>
      </c>
      <c r="O111" t="n">
        <v>0</v>
      </c>
      <c r="P111" t="n">
        <v>0</v>
      </c>
      <c r="Q111" t="n">
        <v>0</v>
      </c>
      <c r="R111" s="2" t="inlineStr"/>
    </row>
    <row r="112" ht="15" customHeight="1">
      <c r="A112" t="inlineStr">
        <is>
          <t>A 43851-2019</t>
        </is>
      </c>
      <c r="B112" s="1" t="n">
        <v>43704</v>
      </c>
      <c r="C112" s="1" t="n">
        <v>45736</v>
      </c>
      <c r="D112" t="inlineStr">
        <is>
          <t>ÖREBRO LÄN</t>
        </is>
      </c>
      <c r="E112" t="inlineStr">
        <is>
          <t>HALLSBERG</t>
        </is>
      </c>
      <c r="G112" t="n">
        <v>8</v>
      </c>
      <c r="H112" t="n">
        <v>0</v>
      </c>
      <c r="I112" t="n">
        <v>0</v>
      </c>
      <c r="J112" t="n">
        <v>0</v>
      </c>
      <c r="K112" t="n">
        <v>0</v>
      </c>
      <c r="L112" t="n">
        <v>0</v>
      </c>
      <c r="M112" t="n">
        <v>0</v>
      </c>
      <c r="N112" t="n">
        <v>0</v>
      </c>
      <c r="O112" t="n">
        <v>0</v>
      </c>
      <c r="P112" t="n">
        <v>0</v>
      </c>
      <c r="Q112" t="n">
        <v>0</v>
      </c>
      <c r="R112" s="2" t="inlineStr"/>
    </row>
    <row r="113" ht="15" customHeight="1">
      <c r="A113" t="inlineStr">
        <is>
          <t>A 47880-2019</t>
        </is>
      </c>
      <c r="B113" s="1" t="n">
        <v>43725</v>
      </c>
      <c r="C113" s="1" t="n">
        <v>45736</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47884-2019</t>
        </is>
      </c>
      <c r="B114" s="1" t="n">
        <v>43725</v>
      </c>
      <c r="C114" s="1" t="n">
        <v>45736</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50543-2019</t>
        </is>
      </c>
      <c r="B115" s="1" t="n">
        <v>43735</v>
      </c>
      <c r="C115" s="1" t="n">
        <v>45736</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50531-2019</t>
        </is>
      </c>
      <c r="B116" s="1" t="n">
        <v>43735</v>
      </c>
      <c r="C116" s="1" t="n">
        <v>45736</v>
      </c>
      <c r="D116" t="inlineStr">
        <is>
          <t>ÖREBRO LÄN</t>
        </is>
      </c>
      <c r="E116" t="inlineStr">
        <is>
          <t>HALLSBERG</t>
        </is>
      </c>
      <c r="G116" t="n">
        <v>3</v>
      </c>
      <c r="H116" t="n">
        <v>0</v>
      </c>
      <c r="I116" t="n">
        <v>0</v>
      </c>
      <c r="J116" t="n">
        <v>0</v>
      </c>
      <c r="K116" t="n">
        <v>0</v>
      </c>
      <c r="L116" t="n">
        <v>0</v>
      </c>
      <c r="M116" t="n">
        <v>0</v>
      </c>
      <c r="N116" t="n">
        <v>0</v>
      </c>
      <c r="O116" t="n">
        <v>0</v>
      </c>
      <c r="P116" t="n">
        <v>0</v>
      </c>
      <c r="Q116" t="n">
        <v>0</v>
      </c>
      <c r="R116" s="2" t="inlineStr"/>
    </row>
    <row r="117" ht="15" customHeight="1">
      <c r="A117" t="inlineStr">
        <is>
          <t>A 51641-2019</t>
        </is>
      </c>
      <c r="B117" s="1" t="n">
        <v>43740</v>
      </c>
      <c r="C117" s="1" t="n">
        <v>45736</v>
      </c>
      <c r="D117" t="inlineStr">
        <is>
          <t>ÖREBRO LÄN</t>
        </is>
      </c>
      <c r="E117" t="inlineStr">
        <is>
          <t>HALLSBERG</t>
        </is>
      </c>
      <c r="F117" t="inlineStr">
        <is>
          <t>Övriga Aktiebolag</t>
        </is>
      </c>
      <c r="G117" t="n">
        <v>1.2</v>
      </c>
      <c r="H117" t="n">
        <v>0</v>
      </c>
      <c r="I117" t="n">
        <v>0</v>
      </c>
      <c r="J117" t="n">
        <v>0</v>
      </c>
      <c r="K117" t="n">
        <v>0</v>
      </c>
      <c r="L117" t="n">
        <v>0</v>
      </c>
      <c r="M117" t="n">
        <v>0</v>
      </c>
      <c r="N117" t="n">
        <v>0</v>
      </c>
      <c r="O117" t="n">
        <v>0</v>
      </c>
      <c r="P117" t="n">
        <v>0</v>
      </c>
      <c r="Q117" t="n">
        <v>0</v>
      </c>
      <c r="R117" s="2" t="inlineStr"/>
    </row>
    <row r="118" ht="15" customHeight="1">
      <c r="A118" t="inlineStr">
        <is>
          <t>A 53726-2019</t>
        </is>
      </c>
      <c r="B118" s="1" t="n">
        <v>43749</v>
      </c>
      <c r="C118" s="1" t="n">
        <v>45736</v>
      </c>
      <c r="D118" t="inlineStr">
        <is>
          <t>ÖREBRO LÄN</t>
        </is>
      </c>
      <c r="E118" t="inlineStr">
        <is>
          <t>HALLSBERG</t>
        </is>
      </c>
      <c r="F118" t="inlineStr">
        <is>
          <t>Övriga Aktiebolag</t>
        </is>
      </c>
      <c r="G118" t="n">
        <v>4.8</v>
      </c>
      <c r="H118" t="n">
        <v>0</v>
      </c>
      <c r="I118" t="n">
        <v>0</v>
      </c>
      <c r="J118" t="n">
        <v>0</v>
      </c>
      <c r="K118" t="n">
        <v>0</v>
      </c>
      <c r="L118" t="n">
        <v>0</v>
      </c>
      <c r="M118" t="n">
        <v>0</v>
      </c>
      <c r="N118" t="n">
        <v>0</v>
      </c>
      <c r="O118" t="n">
        <v>0</v>
      </c>
      <c r="P118" t="n">
        <v>0</v>
      </c>
      <c r="Q118" t="n">
        <v>0</v>
      </c>
      <c r="R118" s="2" t="inlineStr"/>
    </row>
    <row r="119" ht="15" customHeight="1">
      <c r="A119" t="inlineStr">
        <is>
          <t>A 55605-2019</t>
        </is>
      </c>
      <c r="B119" s="1" t="n">
        <v>43759</v>
      </c>
      <c r="C119" s="1" t="n">
        <v>45736</v>
      </c>
      <c r="D119" t="inlineStr">
        <is>
          <t>ÖREBRO LÄN</t>
        </is>
      </c>
      <c r="E119" t="inlineStr">
        <is>
          <t>HALLSBERG</t>
        </is>
      </c>
      <c r="G119" t="n">
        <v>6.2</v>
      </c>
      <c r="H119" t="n">
        <v>0</v>
      </c>
      <c r="I119" t="n">
        <v>0</v>
      </c>
      <c r="J119" t="n">
        <v>0</v>
      </c>
      <c r="K119" t="n">
        <v>0</v>
      </c>
      <c r="L119" t="n">
        <v>0</v>
      </c>
      <c r="M119" t="n">
        <v>0</v>
      </c>
      <c r="N119" t="n">
        <v>0</v>
      </c>
      <c r="O119" t="n">
        <v>0</v>
      </c>
      <c r="P119" t="n">
        <v>0</v>
      </c>
      <c r="Q119" t="n">
        <v>0</v>
      </c>
      <c r="R119" s="2" t="inlineStr"/>
    </row>
    <row r="120" ht="15" customHeight="1">
      <c r="A120" t="inlineStr">
        <is>
          <t>A 55613-2019</t>
        </is>
      </c>
      <c r="B120" s="1" t="n">
        <v>43759</v>
      </c>
      <c r="C120" s="1" t="n">
        <v>45736</v>
      </c>
      <c r="D120" t="inlineStr">
        <is>
          <t>ÖREBRO LÄN</t>
        </is>
      </c>
      <c r="E120" t="inlineStr">
        <is>
          <t>HALLSBERG</t>
        </is>
      </c>
      <c r="G120" t="n">
        <v>0.2</v>
      </c>
      <c r="H120" t="n">
        <v>0</v>
      </c>
      <c r="I120" t="n">
        <v>0</v>
      </c>
      <c r="J120" t="n">
        <v>0</v>
      </c>
      <c r="K120" t="n">
        <v>0</v>
      </c>
      <c r="L120" t="n">
        <v>0</v>
      </c>
      <c r="M120" t="n">
        <v>0</v>
      </c>
      <c r="N120" t="n">
        <v>0</v>
      </c>
      <c r="O120" t="n">
        <v>0</v>
      </c>
      <c r="P120" t="n">
        <v>0</v>
      </c>
      <c r="Q120" t="n">
        <v>0</v>
      </c>
      <c r="R120" s="2" t="inlineStr"/>
    </row>
    <row r="121" ht="15" customHeight="1">
      <c r="A121" t="inlineStr">
        <is>
          <t>A 56454-2019</t>
        </is>
      </c>
      <c r="B121" s="1" t="n">
        <v>43762</v>
      </c>
      <c r="C121" s="1" t="n">
        <v>45736</v>
      </c>
      <c r="D121" t="inlineStr">
        <is>
          <t>ÖREBRO LÄN</t>
        </is>
      </c>
      <c r="E121" t="inlineStr">
        <is>
          <t>HALLSBERG</t>
        </is>
      </c>
      <c r="F121" t="inlineStr">
        <is>
          <t>Övriga Aktiebolag</t>
        </is>
      </c>
      <c r="G121" t="n">
        <v>7.5</v>
      </c>
      <c r="H121" t="n">
        <v>0</v>
      </c>
      <c r="I121" t="n">
        <v>0</v>
      </c>
      <c r="J121" t="n">
        <v>0</v>
      </c>
      <c r="K121" t="n">
        <v>0</v>
      </c>
      <c r="L121" t="n">
        <v>0</v>
      </c>
      <c r="M121" t="n">
        <v>0</v>
      </c>
      <c r="N121" t="n">
        <v>0</v>
      </c>
      <c r="O121" t="n">
        <v>0</v>
      </c>
      <c r="P121" t="n">
        <v>0</v>
      </c>
      <c r="Q121" t="n">
        <v>0</v>
      </c>
      <c r="R121" s="2" t="inlineStr"/>
    </row>
    <row r="122" ht="15" customHeight="1">
      <c r="A122" t="inlineStr">
        <is>
          <t>A 56421-2019</t>
        </is>
      </c>
      <c r="B122" s="1" t="n">
        <v>43762</v>
      </c>
      <c r="C122" s="1" t="n">
        <v>45736</v>
      </c>
      <c r="D122" t="inlineStr">
        <is>
          <t>ÖREBRO LÄN</t>
        </is>
      </c>
      <c r="E122" t="inlineStr">
        <is>
          <t>HALLSBERG</t>
        </is>
      </c>
      <c r="F122" t="inlineStr">
        <is>
          <t>Övriga Aktiebolag</t>
        </is>
      </c>
      <c r="G122" t="n">
        <v>23.2</v>
      </c>
      <c r="H122" t="n">
        <v>0</v>
      </c>
      <c r="I122" t="n">
        <v>0</v>
      </c>
      <c r="J122" t="n">
        <v>0</v>
      </c>
      <c r="K122" t="n">
        <v>0</v>
      </c>
      <c r="L122" t="n">
        <v>0</v>
      </c>
      <c r="M122" t="n">
        <v>0</v>
      </c>
      <c r="N122" t="n">
        <v>0</v>
      </c>
      <c r="O122" t="n">
        <v>0</v>
      </c>
      <c r="P122" t="n">
        <v>0</v>
      </c>
      <c r="Q122" t="n">
        <v>0</v>
      </c>
      <c r="R122" s="2" t="inlineStr"/>
    </row>
    <row r="123" ht="15" customHeight="1">
      <c r="A123" t="inlineStr">
        <is>
          <t>A 60367-2019</t>
        </is>
      </c>
      <c r="B123" s="1" t="n">
        <v>43776</v>
      </c>
      <c r="C123" s="1" t="n">
        <v>45736</v>
      </c>
      <c r="D123" t="inlineStr">
        <is>
          <t>ÖREBRO LÄN</t>
        </is>
      </c>
      <c r="E123" t="inlineStr">
        <is>
          <t>HALLSBERG</t>
        </is>
      </c>
      <c r="G123" t="n">
        <v>1.9</v>
      </c>
      <c r="H123" t="n">
        <v>0</v>
      </c>
      <c r="I123" t="n">
        <v>0</v>
      </c>
      <c r="J123" t="n">
        <v>0</v>
      </c>
      <c r="K123" t="n">
        <v>0</v>
      </c>
      <c r="L123" t="n">
        <v>0</v>
      </c>
      <c r="M123" t="n">
        <v>0</v>
      </c>
      <c r="N123" t="n">
        <v>0</v>
      </c>
      <c r="O123" t="n">
        <v>0</v>
      </c>
      <c r="P123" t="n">
        <v>0</v>
      </c>
      <c r="Q123" t="n">
        <v>0</v>
      </c>
      <c r="R123" s="2" t="inlineStr"/>
    </row>
    <row r="124" ht="15" customHeight="1">
      <c r="A124" t="inlineStr">
        <is>
          <t>A 60626-2019</t>
        </is>
      </c>
      <c r="B124" s="1" t="n">
        <v>43781</v>
      </c>
      <c r="C124" s="1" t="n">
        <v>45736</v>
      </c>
      <c r="D124" t="inlineStr">
        <is>
          <t>ÖREBRO LÄN</t>
        </is>
      </c>
      <c r="E124" t="inlineStr">
        <is>
          <t>HALLSBERG</t>
        </is>
      </c>
      <c r="G124" t="n">
        <v>4.2</v>
      </c>
      <c r="H124" t="n">
        <v>0</v>
      </c>
      <c r="I124" t="n">
        <v>0</v>
      </c>
      <c r="J124" t="n">
        <v>0</v>
      </c>
      <c r="K124" t="n">
        <v>0</v>
      </c>
      <c r="L124" t="n">
        <v>0</v>
      </c>
      <c r="M124" t="n">
        <v>0</v>
      </c>
      <c r="N124" t="n">
        <v>0</v>
      </c>
      <c r="O124" t="n">
        <v>0</v>
      </c>
      <c r="P124" t="n">
        <v>0</v>
      </c>
      <c r="Q124" t="n">
        <v>0</v>
      </c>
      <c r="R124" s="2" t="inlineStr"/>
    </row>
    <row r="125" ht="15" customHeight="1">
      <c r="A125" t="inlineStr">
        <is>
          <t>A 63117-2019</t>
        </is>
      </c>
      <c r="B125" s="1" t="n">
        <v>43791</v>
      </c>
      <c r="C125" s="1" t="n">
        <v>45736</v>
      </c>
      <c r="D125" t="inlineStr">
        <is>
          <t>ÖREBRO LÄN</t>
        </is>
      </c>
      <c r="E125" t="inlineStr">
        <is>
          <t>HALLSBERG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63264-2019</t>
        </is>
      </c>
      <c r="B126" s="1" t="n">
        <v>43793</v>
      </c>
      <c r="C126" s="1" t="n">
        <v>45736</v>
      </c>
      <c r="D126" t="inlineStr">
        <is>
          <t>ÖREBRO LÄN</t>
        </is>
      </c>
      <c r="E126" t="inlineStr">
        <is>
          <t>HALLSBERG</t>
        </is>
      </c>
      <c r="G126" t="n">
        <v>4.5</v>
      </c>
      <c r="H126" t="n">
        <v>0</v>
      </c>
      <c r="I126" t="n">
        <v>0</v>
      </c>
      <c r="J126" t="n">
        <v>0</v>
      </c>
      <c r="K126" t="n">
        <v>0</v>
      </c>
      <c r="L126" t="n">
        <v>0</v>
      </c>
      <c r="M126" t="n">
        <v>0</v>
      </c>
      <c r="N126" t="n">
        <v>0</v>
      </c>
      <c r="O126" t="n">
        <v>0</v>
      </c>
      <c r="P126" t="n">
        <v>0</v>
      </c>
      <c r="Q126" t="n">
        <v>0</v>
      </c>
      <c r="R126" s="2" t="inlineStr"/>
    </row>
    <row r="127" ht="15" customHeight="1">
      <c r="A127" t="inlineStr">
        <is>
          <t>A 1516-2020</t>
        </is>
      </c>
      <c r="B127" s="1" t="n">
        <v>43843</v>
      </c>
      <c r="C127" s="1" t="n">
        <v>45736</v>
      </c>
      <c r="D127" t="inlineStr">
        <is>
          <t>ÖREBRO LÄN</t>
        </is>
      </c>
      <c r="E127" t="inlineStr">
        <is>
          <t>HALLSBERG</t>
        </is>
      </c>
      <c r="G127" t="n">
        <v>0.8</v>
      </c>
      <c r="H127" t="n">
        <v>0</v>
      </c>
      <c r="I127" t="n">
        <v>0</v>
      </c>
      <c r="J127" t="n">
        <v>0</v>
      </c>
      <c r="K127" t="n">
        <v>0</v>
      </c>
      <c r="L127" t="n">
        <v>0</v>
      </c>
      <c r="M127" t="n">
        <v>0</v>
      </c>
      <c r="N127" t="n">
        <v>0</v>
      </c>
      <c r="O127" t="n">
        <v>0</v>
      </c>
      <c r="P127" t="n">
        <v>0</v>
      </c>
      <c r="Q127" t="n">
        <v>0</v>
      </c>
      <c r="R127" s="2" t="inlineStr"/>
    </row>
    <row r="128" ht="15" customHeight="1">
      <c r="A128" t="inlineStr">
        <is>
          <t>A 2362-2020</t>
        </is>
      </c>
      <c r="B128" s="1" t="n">
        <v>43846</v>
      </c>
      <c r="C128" s="1" t="n">
        <v>45736</v>
      </c>
      <c r="D128" t="inlineStr">
        <is>
          <t>ÖREBRO LÄN</t>
        </is>
      </c>
      <c r="E128" t="inlineStr">
        <is>
          <t>HALLSBERG</t>
        </is>
      </c>
      <c r="G128" t="n">
        <v>1.2</v>
      </c>
      <c r="H128" t="n">
        <v>0</v>
      </c>
      <c r="I128" t="n">
        <v>0</v>
      </c>
      <c r="J128" t="n">
        <v>0</v>
      </c>
      <c r="K128" t="n">
        <v>0</v>
      </c>
      <c r="L128" t="n">
        <v>0</v>
      </c>
      <c r="M128" t="n">
        <v>0</v>
      </c>
      <c r="N128" t="n">
        <v>0</v>
      </c>
      <c r="O128" t="n">
        <v>0</v>
      </c>
      <c r="P128" t="n">
        <v>0</v>
      </c>
      <c r="Q128" t="n">
        <v>0</v>
      </c>
      <c r="R128" s="2" t="inlineStr"/>
    </row>
    <row r="129" ht="15" customHeight="1">
      <c r="A129" t="inlineStr">
        <is>
          <t>A 5275-2020</t>
        </is>
      </c>
      <c r="B129" s="1" t="n">
        <v>43860</v>
      </c>
      <c r="C129" s="1" t="n">
        <v>45736</v>
      </c>
      <c r="D129" t="inlineStr">
        <is>
          <t>ÖREBRO LÄN</t>
        </is>
      </c>
      <c r="E129" t="inlineStr">
        <is>
          <t>HALLSBERG</t>
        </is>
      </c>
      <c r="G129" t="n">
        <v>0.9</v>
      </c>
      <c r="H129" t="n">
        <v>0</v>
      </c>
      <c r="I129" t="n">
        <v>0</v>
      </c>
      <c r="J129" t="n">
        <v>0</v>
      </c>
      <c r="K129" t="n">
        <v>0</v>
      </c>
      <c r="L129" t="n">
        <v>0</v>
      </c>
      <c r="M129" t="n">
        <v>0</v>
      </c>
      <c r="N129" t="n">
        <v>0</v>
      </c>
      <c r="O129" t="n">
        <v>0</v>
      </c>
      <c r="P129" t="n">
        <v>0</v>
      </c>
      <c r="Q129" t="n">
        <v>0</v>
      </c>
      <c r="R129" s="2" t="inlineStr"/>
    </row>
    <row r="130" ht="15" customHeight="1">
      <c r="A130" t="inlineStr">
        <is>
          <t>A 5667-2020</t>
        </is>
      </c>
      <c r="B130" s="1" t="n">
        <v>43861</v>
      </c>
      <c r="C130" s="1" t="n">
        <v>45736</v>
      </c>
      <c r="D130" t="inlineStr">
        <is>
          <t>ÖREBRO LÄN</t>
        </is>
      </c>
      <c r="E130" t="inlineStr">
        <is>
          <t>HALLSBERG</t>
        </is>
      </c>
      <c r="G130" t="n">
        <v>10.4</v>
      </c>
      <c r="H130" t="n">
        <v>0</v>
      </c>
      <c r="I130" t="n">
        <v>0</v>
      </c>
      <c r="J130" t="n">
        <v>0</v>
      </c>
      <c r="K130" t="n">
        <v>0</v>
      </c>
      <c r="L130" t="n">
        <v>0</v>
      </c>
      <c r="M130" t="n">
        <v>0</v>
      </c>
      <c r="N130" t="n">
        <v>0</v>
      </c>
      <c r="O130" t="n">
        <v>0</v>
      </c>
      <c r="P130" t="n">
        <v>0</v>
      </c>
      <c r="Q130" t="n">
        <v>0</v>
      </c>
      <c r="R130" s="2" t="inlineStr"/>
    </row>
    <row r="131" ht="15" customHeight="1">
      <c r="A131" t="inlineStr">
        <is>
          <t>A 6938-2020</t>
        </is>
      </c>
      <c r="B131" s="1" t="n">
        <v>43867</v>
      </c>
      <c r="C131" s="1" t="n">
        <v>45736</v>
      </c>
      <c r="D131" t="inlineStr">
        <is>
          <t>ÖREBRO LÄN</t>
        </is>
      </c>
      <c r="E131" t="inlineStr">
        <is>
          <t>HALLSBERG</t>
        </is>
      </c>
      <c r="G131" t="n">
        <v>1</v>
      </c>
      <c r="H131" t="n">
        <v>0</v>
      </c>
      <c r="I131" t="n">
        <v>0</v>
      </c>
      <c r="J131" t="n">
        <v>0</v>
      </c>
      <c r="K131" t="n">
        <v>0</v>
      </c>
      <c r="L131" t="n">
        <v>0</v>
      </c>
      <c r="M131" t="n">
        <v>0</v>
      </c>
      <c r="N131" t="n">
        <v>0</v>
      </c>
      <c r="O131" t="n">
        <v>0</v>
      </c>
      <c r="P131" t="n">
        <v>0</v>
      </c>
      <c r="Q131" t="n">
        <v>0</v>
      </c>
      <c r="R131" s="2" t="inlineStr"/>
    </row>
    <row r="132" ht="15" customHeight="1">
      <c r="A132" t="inlineStr">
        <is>
          <t>A 9200-2020</t>
        </is>
      </c>
      <c r="B132" s="1" t="n">
        <v>43879</v>
      </c>
      <c r="C132" s="1" t="n">
        <v>45736</v>
      </c>
      <c r="D132" t="inlineStr">
        <is>
          <t>ÖREBRO LÄN</t>
        </is>
      </c>
      <c r="E132" t="inlineStr">
        <is>
          <t>HALLSBERG</t>
        </is>
      </c>
      <c r="G132" t="n">
        <v>1.1</v>
      </c>
      <c r="H132" t="n">
        <v>0</v>
      </c>
      <c r="I132" t="n">
        <v>0</v>
      </c>
      <c r="J132" t="n">
        <v>0</v>
      </c>
      <c r="K132" t="n">
        <v>0</v>
      </c>
      <c r="L132" t="n">
        <v>0</v>
      </c>
      <c r="M132" t="n">
        <v>0</v>
      </c>
      <c r="N132" t="n">
        <v>0</v>
      </c>
      <c r="O132" t="n">
        <v>0</v>
      </c>
      <c r="P132" t="n">
        <v>0</v>
      </c>
      <c r="Q132" t="n">
        <v>0</v>
      </c>
      <c r="R132" s="2" t="inlineStr"/>
    </row>
    <row r="133" ht="15" customHeight="1">
      <c r="A133" t="inlineStr">
        <is>
          <t>A 9211-2020</t>
        </is>
      </c>
      <c r="B133" s="1" t="n">
        <v>43879</v>
      </c>
      <c r="C133" s="1" t="n">
        <v>45736</v>
      </c>
      <c r="D133" t="inlineStr">
        <is>
          <t>ÖREBRO LÄN</t>
        </is>
      </c>
      <c r="E133" t="inlineStr">
        <is>
          <t>HALLSBERG</t>
        </is>
      </c>
      <c r="G133" t="n">
        <v>10.7</v>
      </c>
      <c r="H133" t="n">
        <v>0</v>
      </c>
      <c r="I133" t="n">
        <v>0</v>
      </c>
      <c r="J133" t="n">
        <v>0</v>
      </c>
      <c r="K133" t="n">
        <v>0</v>
      </c>
      <c r="L133" t="n">
        <v>0</v>
      </c>
      <c r="M133" t="n">
        <v>0</v>
      </c>
      <c r="N133" t="n">
        <v>0</v>
      </c>
      <c r="O133" t="n">
        <v>0</v>
      </c>
      <c r="P133" t="n">
        <v>0</v>
      </c>
      <c r="Q133" t="n">
        <v>0</v>
      </c>
      <c r="R133" s="2" t="inlineStr"/>
    </row>
    <row r="134" ht="15" customHeight="1">
      <c r="A134" t="inlineStr">
        <is>
          <t>A 12057-2020</t>
        </is>
      </c>
      <c r="B134" s="1" t="n">
        <v>43894</v>
      </c>
      <c r="C134" s="1" t="n">
        <v>45736</v>
      </c>
      <c r="D134" t="inlineStr">
        <is>
          <t>ÖREBRO LÄN</t>
        </is>
      </c>
      <c r="E134" t="inlineStr">
        <is>
          <t>HALLSBERG</t>
        </is>
      </c>
      <c r="G134" t="n">
        <v>5.3</v>
      </c>
      <c r="H134" t="n">
        <v>0</v>
      </c>
      <c r="I134" t="n">
        <v>0</v>
      </c>
      <c r="J134" t="n">
        <v>0</v>
      </c>
      <c r="K134" t="n">
        <v>0</v>
      </c>
      <c r="L134" t="n">
        <v>0</v>
      </c>
      <c r="M134" t="n">
        <v>0</v>
      </c>
      <c r="N134" t="n">
        <v>0</v>
      </c>
      <c r="O134" t="n">
        <v>0</v>
      </c>
      <c r="P134" t="n">
        <v>0</v>
      </c>
      <c r="Q134" t="n">
        <v>0</v>
      </c>
      <c r="R134" s="2" t="inlineStr"/>
    </row>
    <row r="135" ht="15" customHeight="1">
      <c r="A135" t="inlineStr">
        <is>
          <t>A 14453-2020</t>
        </is>
      </c>
      <c r="B135" s="1" t="n">
        <v>43908</v>
      </c>
      <c r="C135" s="1" t="n">
        <v>45736</v>
      </c>
      <c r="D135" t="inlineStr">
        <is>
          <t>ÖREBRO LÄN</t>
        </is>
      </c>
      <c r="E135" t="inlineStr">
        <is>
          <t>HALLSBERG</t>
        </is>
      </c>
      <c r="G135" t="n">
        <v>0.8</v>
      </c>
      <c r="H135" t="n">
        <v>0</v>
      </c>
      <c r="I135" t="n">
        <v>0</v>
      </c>
      <c r="J135" t="n">
        <v>0</v>
      </c>
      <c r="K135" t="n">
        <v>0</v>
      </c>
      <c r="L135" t="n">
        <v>0</v>
      </c>
      <c r="M135" t="n">
        <v>0</v>
      </c>
      <c r="N135" t="n">
        <v>0</v>
      </c>
      <c r="O135" t="n">
        <v>0</v>
      </c>
      <c r="P135" t="n">
        <v>0</v>
      </c>
      <c r="Q135" t="n">
        <v>0</v>
      </c>
      <c r="R135" s="2" t="inlineStr"/>
    </row>
    <row r="136" ht="15" customHeight="1">
      <c r="A136" t="inlineStr">
        <is>
          <t>A 16056-2020</t>
        </is>
      </c>
      <c r="B136" s="1" t="n">
        <v>43916</v>
      </c>
      <c r="C136" s="1" t="n">
        <v>45736</v>
      </c>
      <c r="D136" t="inlineStr">
        <is>
          <t>ÖREBRO LÄN</t>
        </is>
      </c>
      <c r="E136" t="inlineStr">
        <is>
          <t>HALLSBERG</t>
        </is>
      </c>
      <c r="G136" t="n">
        <v>1.3</v>
      </c>
      <c r="H136" t="n">
        <v>0</v>
      </c>
      <c r="I136" t="n">
        <v>0</v>
      </c>
      <c r="J136" t="n">
        <v>0</v>
      </c>
      <c r="K136" t="n">
        <v>0</v>
      </c>
      <c r="L136" t="n">
        <v>0</v>
      </c>
      <c r="M136" t="n">
        <v>0</v>
      </c>
      <c r="N136" t="n">
        <v>0</v>
      </c>
      <c r="O136" t="n">
        <v>0</v>
      </c>
      <c r="P136" t="n">
        <v>0</v>
      </c>
      <c r="Q136" t="n">
        <v>0</v>
      </c>
      <c r="R136" s="2" t="inlineStr"/>
    </row>
    <row r="137" ht="15" customHeight="1">
      <c r="A137" t="inlineStr">
        <is>
          <t>A 18548-2020</t>
        </is>
      </c>
      <c r="B137" s="1" t="n">
        <v>43929</v>
      </c>
      <c r="C137" s="1" t="n">
        <v>45736</v>
      </c>
      <c r="D137" t="inlineStr">
        <is>
          <t>ÖREBRO LÄN</t>
        </is>
      </c>
      <c r="E137" t="inlineStr">
        <is>
          <t>HALLSBERG</t>
        </is>
      </c>
      <c r="G137" t="n">
        <v>3.4</v>
      </c>
      <c r="H137" t="n">
        <v>0</v>
      </c>
      <c r="I137" t="n">
        <v>0</v>
      </c>
      <c r="J137" t="n">
        <v>0</v>
      </c>
      <c r="K137" t="n">
        <v>0</v>
      </c>
      <c r="L137" t="n">
        <v>0</v>
      </c>
      <c r="M137" t="n">
        <v>0</v>
      </c>
      <c r="N137" t="n">
        <v>0</v>
      </c>
      <c r="O137" t="n">
        <v>0</v>
      </c>
      <c r="P137" t="n">
        <v>0</v>
      </c>
      <c r="Q137" t="n">
        <v>0</v>
      </c>
      <c r="R137" s="2" t="inlineStr"/>
    </row>
    <row r="138" ht="15" customHeight="1">
      <c r="A138" t="inlineStr">
        <is>
          <t>A 18555-2020</t>
        </is>
      </c>
      <c r="B138" s="1" t="n">
        <v>43929</v>
      </c>
      <c r="C138" s="1" t="n">
        <v>45736</v>
      </c>
      <c r="D138" t="inlineStr">
        <is>
          <t>ÖREBRO LÄN</t>
        </is>
      </c>
      <c r="E138" t="inlineStr">
        <is>
          <t>HALLSBERG</t>
        </is>
      </c>
      <c r="G138" t="n">
        <v>3.2</v>
      </c>
      <c r="H138" t="n">
        <v>0</v>
      </c>
      <c r="I138" t="n">
        <v>0</v>
      </c>
      <c r="J138" t="n">
        <v>0</v>
      </c>
      <c r="K138" t="n">
        <v>0</v>
      </c>
      <c r="L138" t="n">
        <v>0</v>
      </c>
      <c r="M138" t="n">
        <v>0</v>
      </c>
      <c r="N138" t="n">
        <v>0</v>
      </c>
      <c r="O138" t="n">
        <v>0</v>
      </c>
      <c r="P138" t="n">
        <v>0</v>
      </c>
      <c r="Q138" t="n">
        <v>0</v>
      </c>
      <c r="R138" s="2" t="inlineStr"/>
    </row>
    <row r="139" ht="15" customHeight="1">
      <c r="A139" t="inlineStr">
        <is>
          <t>A 18553-2020</t>
        </is>
      </c>
      <c r="B139" s="1" t="n">
        <v>43929</v>
      </c>
      <c r="C139" s="1" t="n">
        <v>45736</v>
      </c>
      <c r="D139" t="inlineStr">
        <is>
          <t>ÖREBRO LÄN</t>
        </is>
      </c>
      <c r="E139" t="inlineStr">
        <is>
          <t>HALLSBERG</t>
        </is>
      </c>
      <c r="G139" t="n">
        <v>2.4</v>
      </c>
      <c r="H139" t="n">
        <v>0</v>
      </c>
      <c r="I139" t="n">
        <v>0</v>
      </c>
      <c r="J139" t="n">
        <v>0</v>
      </c>
      <c r="K139" t="n">
        <v>0</v>
      </c>
      <c r="L139" t="n">
        <v>0</v>
      </c>
      <c r="M139" t="n">
        <v>0</v>
      </c>
      <c r="N139" t="n">
        <v>0</v>
      </c>
      <c r="O139" t="n">
        <v>0</v>
      </c>
      <c r="P139" t="n">
        <v>0</v>
      </c>
      <c r="Q139" t="n">
        <v>0</v>
      </c>
      <c r="R139" s="2" t="inlineStr"/>
    </row>
    <row r="140" ht="15" customHeight="1">
      <c r="A140" t="inlineStr">
        <is>
          <t>A 19784-2020</t>
        </is>
      </c>
      <c r="B140" s="1" t="n">
        <v>43942</v>
      </c>
      <c r="C140" s="1" t="n">
        <v>45736</v>
      </c>
      <c r="D140" t="inlineStr">
        <is>
          <t>ÖREBRO LÄN</t>
        </is>
      </c>
      <c r="E140" t="inlineStr">
        <is>
          <t>HALLSBERG</t>
        </is>
      </c>
      <c r="G140" t="n">
        <v>3</v>
      </c>
      <c r="H140" t="n">
        <v>0</v>
      </c>
      <c r="I140" t="n">
        <v>0</v>
      </c>
      <c r="J140" t="n">
        <v>0</v>
      </c>
      <c r="K140" t="n">
        <v>0</v>
      </c>
      <c r="L140" t="n">
        <v>0</v>
      </c>
      <c r="M140" t="n">
        <v>0</v>
      </c>
      <c r="N140" t="n">
        <v>0</v>
      </c>
      <c r="O140" t="n">
        <v>0</v>
      </c>
      <c r="P140" t="n">
        <v>0</v>
      </c>
      <c r="Q140" t="n">
        <v>0</v>
      </c>
      <c r="R140" s="2" t="inlineStr"/>
    </row>
    <row r="141" ht="15" customHeight="1">
      <c r="A141" t="inlineStr">
        <is>
          <t>A 19791-2020</t>
        </is>
      </c>
      <c r="B141" s="1" t="n">
        <v>43942</v>
      </c>
      <c r="C141" s="1" t="n">
        <v>45736</v>
      </c>
      <c r="D141" t="inlineStr">
        <is>
          <t>ÖREBRO LÄN</t>
        </is>
      </c>
      <c r="E141" t="inlineStr">
        <is>
          <t>HALLSBERG</t>
        </is>
      </c>
      <c r="G141" t="n">
        <v>7.6</v>
      </c>
      <c r="H141" t="n">
        <v>0</v>
      </c>
      <c r="I141" t="n">
        <v>0</v>
      </c>
      <c r="J141" t="n">
        <v>0</v>
      </c>
      <c r="K141" t="n">
        <v>0</v>
      </c>
      <c r="L141" t="n">
        <v>0</v>
      </c>
      <c r="M141" t="n">
        <v>0</v>
      </c>
      <c r="N141" t="n">
        <v>0</v>
      </c>
      <c r="O141" t="n">
        <v>0</v>
      </c>
      <c r="P141" t="n">
        <v>0</v>
      </c>
      <c r="Q141" t="n">
        <v>0</v>
      </c>
      <c r="R141" s="2" t="inlineStr"/>
    </row>
    <row r="142" ht="15" customHeight="1">
      <c r="A142" t="inlineStr">
        <is>
          <t>A 20129-2020</t>
        </is>
      </c>
      <c r="B142" s="1" t="n">
        <v>43944</v>
      </c>
      <c r="C142" s="1" t="n">
        <v>45736</v>
      </c>
      <c r="D142" t="inlineStr">
        <is>
          <t>ÖREBRO LÄN</t>
        </is>
      </c>
      <c r="E142" t="inlineStr">
        <is>
          <t>HALLSBERG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20511-2020</t>
        </is>
      </c>
      <c r="B143" s="1" t="n">
        <v>43948</v>
      </c>
      <c r="C143" s="1" t="n">
        <v>45736</v>
      </c>
      <c r="D143" t="inlineStr">
        <is>
          <t>ÖREBRO LÄN</t>
        </is>
      </c>
      <c r="E143" t="inlineStr">
        <is>
          <t>HALLSBERG</t>
        </is>
      </c>
      <c r="F143" t="inlineStr">
        <is>
          <t>Allmännings- och besparingsskogar</t>
        </is>
      </c>
      <c r="G143" t="n">
        <v>6.3</v>
      </c>
      <c r="H143" t="n">
        <v>0</v>
      </c>
      <c r="I143" t="n">
        <v>0</v>
      </c>
      <c r="J143" t="n">
        <v>0</v>
      </c>
      <c r="K143" t="n">
        <v>0</v>
      </c>
      <c r="L143" t="n">
        <v>0</v>
      </c>
      <c r="M143" t="n">
        <v>0</v>
      </c>
      <c r="N143" t="n">
        <v>0</v>
      </c>
      <c r="O143" t="n">
        <v>0</v>
      </c>
      <c r="P143" t="n">
        <v>0</v>
      </c>
      <c r="Q143" t="n">
        <v>0</v>
      </c>
      <c r="R143" s="2" t="inlineStr"/>
    </row>
    <row r="144" ht="15" customHeight="1">
      <c r="A144" t="inlineStr">
        <is>
          <t>A 20544-2020</t>
        </is>
      </c>
      <c r="B144" s="1" t="n">
        <v>43948</v>
      </c>
      <c r="C144" s="1" t="n">
        <v>45736</v>
      </c>
      <c r="D144" t="inlineStr">
        <is>
          <t>ÖREBRO LÄN</t>
        </is>
      </c>
      <c r="E144" t="inlineStr">
        <is>
          <t>HALLSBERG</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20500-2020</t>
        </is>
      </c>
      <c r="B145" s="1" t="n">
        <v>43948</v>
      </c>
      <c r="C145" s="1" t="n">
        <v>45736</v>
      </c>
      <c r="D145" t="inlineStr">
        <is>
          <t>ÖREBRO LÄN</t>
        </is>
      </c>
      <c r="E145" t="inlineStr">
        <is>
          <t>HALLSBERG</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20510-2020</t>
        </is>
      </c>
      <c r="B146" s="1" t="n">
        <v>43948</v>
      </c>
      <c r="C146" s="1" t="n">
        <v>45736</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20704-2020</t>
        </is>
      </c>
      <c r="B147" s="1" t="n">
        <v>43949</v>
      </c>
      <c r="C147" s="1" t="n">
        <v>45736</v>
      </c>
      <c r="D147" t="inlineStr">
        <is>
          <t>ÖREBRO LÄN</t>
        </is>
      </c>
      <c r="E147" t="inlineStr">
        <is>
          <t>HALLSBERG</t>
        </is>
      </c>
      <c r="F147" t="inlineStr">
        <is>
          <t>Allmännings- och besparingsskogar</t>
        </is>
      </c>
      <c r="G147" t="n">
        <v>3.9</v>
      </c>
      <c r="H147" t="n">
        <v>0</v>
      </c>
      <c r="I147" t="n">
        <v>0</v>
      </c>
      <c r="J147" t="n">
        <v>0</v>
      </c>
      <c r="K147" t="n">
        <v>0</v>
      </c>
      <c r="L147" t="n">
        <v>0</v>
      </c>
      <c r="M147" t="n">
        <v>0</v>
      </c>
      <c r="N147" t="n">
        <v>0</v>
      </c>
      <c r="O147" t="n">
        <v>0</v>
      </c>
      <c r="P147" t="n">
        <v>0</v>
      </c>
      <c r="Q147" t="n">
        <v>0</v>
      </c>
      <c r="R147" s="2" t="inlineStr"/>
    </row>
    <row r="148" ht="15" customHeight="1">
      <c r="A148" t="inlineStr">
        <is>
          <t>A 20705-2020</t>
        </is>
      </c>
      <c r="B148" s="1" t="n">
        <v>43949</v>
      </c>
      <c r="C148" s="1" t="n">
        <v>45736</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20958-2020</t>
        </is>
      </c>
      <c r="B149" s="1" t="n">
        <v>43950</v>
      </c>
      <c r="C149" s="1" t="n">
        <v>45736</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20833-2020</t>
        </is>
      </c>
      <c r="B150" s="1" t="n">
        <v>43950</v>
      </c>
      <c r="C150" s="1" t="n">
        <v>45736</v>
      </c>
      <c r="D150" t="inlineStr">
        <is>
          <t>ÖREBRO LÄN</t>
        </is>
      </c>
      <c r="E150" t="inlineStr">
        <is>
          <t>HALLSBERG</t>
        </is>
      </c>
      <c r="F150" t="inlineStr">
        <is>
          <t>Allmännings- och besparingsskogar</t>
        </is>
      </c>
      <c r="G150" t="n">
        <v>7.1</v>
      </c>
      <c r="H150" t="n">
        <v>0</v>
      </c>
      <c r="I150" t="n">
        <v>0</v>
      </c>
      <c r="J150" t="n">
        <v>0</v>
      </c>
      <c r="K150" t="n">
        <v>0</v>
      </c>
      <c r="L150" t="n">
        <v>0</v>
      </c>
      <c r="M150" t="n">
        <v>0</v>
      </c>
      <c r="N150" t="n">
        <v>0</v>
      </c>
      <c r="O150" t="n">
        <v>0</v>
      </c>
      <c r="P150" t="n">
        <v>0</v>
      </c>
      <c r="Q150" t="n">
        <v>0</v>
      </c>
      <c r="R150" s="2" t="inlineStr"/>
    </row>
    <row r="151" ht="15" customHeight="1">
      <c r="A151" t="inlineStr">
        <is>
          <t>A 22567-2020</t>
        </is>
      </c>
      <c r="B151" s="1" t="n">
        <v>43963</v>
      </c>
      <c r="C151" s="1" t="n">
        <v>45736</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23720-2020</t>
        </is>
      </c>
      <c r="B152" s="1" t="n">
        <v>43970</v>
      </c>
      <c r="C152" s="1" t="n">
        <v>45736</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23716-2020</t>
        </is>
      </c>
      <c r="B153" s="1" t="n">
        <v>43970</v>
      </c>
      <c r="C153" s="1" t="n">
        <v>45736</v>
      </c>
      <c r="D153" t="inlineStr">
        <is>
          <t>ÖREBRO LÄN</t>
        </is>
      </c>
      <c r="E153" t="inlineStr">
        <is>
          <t>HALLSBERG</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23717-2020</t>
        </is>
      </c>
      <c r="B154" s="1" t="n">
        <v>43970</v>
      </c>
      <c r="C154" s="1" t="n">
        <v>45736</v>
      </c>
      <c r="D154" t="inlineStr">
        <is>
          <t>ÖREBRO LÄN</t>
        </is>
      </c>
      <c r="E154" t="inlineStr">
        <is>
          <t>HALLSBERG</t>
        </is>
      </c>
      <c r="F154" t="inlineStr">
        <is>
          <t>Sveaskog</t>
        </is>
      </c>
      <c r="G154" t="n">
        <v>7.9</v>
      </c>
      <c r="H154" t="n">
        <v>0</v>
      </c>
      <c r="I154" t="n">
        <v>0</v>
      </c>
      <c r="J154" t="n">
        <v>0</v>
      </c>
      <c r="K154" t="n">
        <v>0</v>
      </c>
      <c r="L154" t="n">
        <v>0</v>
      </c>
      <c r="M154" t="n">
        <v>0</v>
      </c>
      <c r="N154" t="n">
        <v>0</v>
      </c>
      <c r="O154" t="n">
        <v>0</v>
      </c>
      <c r="P154" t="n">
        <v>0</v>
      </c>
      <c r="Q154" t="n">
        <v>0</v>
      </c>
      <c r="R154" s="2" t="inlineStr"/>
    </row>
    <row r="155" ht="15" customHeight="1">
      <c r="A155" t="inlineStr">
        <is>
          <t>A 23773-2020</t>
        </is>
      </c>
      <c r="B155" s="1" t="n">
        <v>43970</v>
      </c>
      <c r="C155" s="1" t="n">
        <v>45736</v>
      </c>
      <c r="D155" t="inlineStr">
        <is>
          <t>ÖREBRO LÄN</t>
        </is>
      </c>
      <c r="E155" t="inlineStr">
        <is>
          <t>HALLSBERG</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24022-2020</t>
        </is>
      </c>
      <c r="B156" s="1" t="n">
        <v>43971</v>
      </c>
      <c r="C156" s="1" t="n">
        <v>45736</v>
      </c>
      <c r="D156" t="inlineStr">
        <is>
          <t>ÖREBRO LÄN</t>
        </is>
      </c>
      <c r="E156" t="inlineStr">
        <is>
          <t>HALLSBERG</t>
        </is>
      </c>
      <c r="G156" t="n">
        <v>0.9</v>
      </c>
      <c r="H156" t="n">
        <v>0</v>
      </c>
      <c r="I156" t="n">
        <v>0</v>
      </c>
      <c r="J156" t="n">
        <v>0</v>
      </c>
      <c r="K156" t="n">
        <v>0</v>
      </c>
      <c r="L156" t="n">
        <v>0</v>
      </c>
      <c r="M156" t="n">
        <v>0</v>
      </c>
      <c r="N156" t="n">
        <v>0</v>
      </c>
      <c r="O156" t="n">
        <v>0</v>
      </c>
      <c r="P156" t="n">
        <v>0</v>
      </c>
      <c r="Q156" t="n">
        <v>0</v>
      </c>
      <c r="R156" s="2" t="inlineStr"/>
    </row>
    <row r="157" ht="15" customHeight="1">
      <c r="A157" t="inlineStr">
        <is>
          <t>A 24623-2020</t>
        </is>
      </c>
      <c r="B157" s="1" t="n">
        <v>43977</v>
      </c>
      <c r="C157" s="1" t="n">
        <v>45736</v>
      </c>
      <c r="D157" t="inlineStr">
        <is>
          <t>ÖREBRO LÄN</t>
        </is>
      </c>
      <c r="E157" t="inlineStr">
        <is>
          <t>HALLSBERG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24626-2020</t>
        </is>
      </c>
      <c r="B158" s="1" t="n">
        <v>43977</v>
      </c>
      <c r="C158" s="1" t="n">
        <v>45736</v>
      </c>
      <c r="D158" t="inlineStr">
        <is>
          <t>ÖREBRO LÄN</t>
        </is>
      </c>
      <c r="E158" t="inlineStr">
        <is>
          <t>HALLSBERG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26196-2020</t>
        </is>
      </c>
      <c r="B159" s="1" t="n">
        <v>43985</v>
      </c>
      <c r="C159" s="1" t="n">
        <v>45736</v>
      </c>
      <c r="D159" t="inlineStr">
        <is>
          <t>ÖREBRO LÄN</t>
        </is>
      </c>
      <c r="E159" t="inlineStr">
        <is>
          <t>HALLSBERG</t>
        </is>
      </c>
      <c r="G159" t="n">
        <v>1.1</v>
      </c>
      <c r="H159" t="n">
        <v>0</v>
      </c>
      <c r="I159" t="n">
        <v>0</v>
      </c>
      <c r="J159" t="n">
        <v>0</v>
      </c>
      <c r="K159" t="n">
        <v>0</v>
      </c>
      <c r="L159" t="n">
        <v>0</v>
      </c>
      <c r="M159" t="n">
        <v>0</v>
      </c>
      <c r="N159" t="n">
        <v>0</v>
      </c>
      <c r="O159" t="n">
        <v>0</v>
      </c>
      <c r="P159" t="n">
        <v>0</v>
      </c>
      <c r="Q159" t="n">
        <v>0</v>
      </c>
      <c r="R159" s="2" t="inlineStr"/>
    </row>
    <row r="160" ht="15" customHeight="1">
      <c r="A160" t="inlineStr">
        <is>
          <t>A 26211-2020</t>
        </is>
      </c>
      <c r="B160" s="1" t="n">
        <v>43986</v>
      </c>
      <c r="C160" s="1" t="n">
        <v>45736</v>
      </c>
      <c r="D160" t="inlineStr">
        <is>
          <t>ÖREBRO LÄN</t>
        </is>
      </c>
      <c r="E160" t="inlineStr">
        <is>
          <t>HALLSBERG</t>
        </is>
      </c>
      <c r="G160" t="n">
        <v>6.8</v>
      </c>
      <c r="H160" t="n">
        <v>0</v>
      </c>
      <c r="I160" t="n">
        <v>0</v>
      </c>
      <c r="J160" t="n">
        <v>0</v>
      </c>
      <c r="K160" t="n">
        <v>0</v>
      </c>
      <c r="L160" t="n">
        <v>0</v>
      </c>
      <c r="M160" t="n">
        <v>0</v>
      </c>
      <c r="N160" t="n">
        <v>0</v>
      </c>
      <c r="O160" t="n">
        <v>0</v>
      </c>
      <c r="P160" t="n">
        <v>0</v>
      </c>
      <c r="Q160" t="n">
        <v>0</v>
      </c>
      <c r="R160" s="2" t="inlineStr"/>
    </row>
    <row r="161" ht="15" customHeight="1">
      <c r="A161" t="inlineStr">
        <is>
          <t>A 26477-2020</t>
        </is>
      </c>
      <c r="B161" s="1" t="n">
        <v>43987</v>
      </c>
      <c r="C161" s="1" t="n">
        <v>45736</v>
      </c>
      <c r="D161" t="inlineStr">
        <is>
          <t>ÖREBRO LÄN</t>
        </is>
      </c>
      <c r="E161" t="inlineStr">
        <is>
          <t>HALLSBERG</t>
        </is>
      </c>
      <c r="G161" t="n">
        <v>0.2</v>
      </c>
      <c r="H161" t="n">
        <v>0</v>
      </c>
      <c r="I161" t="n">
        <v>0</v>
      </c>
      <c r="J161" t="n">
        <v>0</v>
      </c>
      <c r="K161" t="n">
        <v>0</v>
      </c>
      <c r="L161" t="n">
        <v>0</v>
      </c>
      <c r="M161" t="n">
        <v>0</v>
      </c>
      <c r="N161" t="n">
        <v>0</v>
      </c>
      <c r="O161" t="n">
        <v>0</v>
      </c>
      <c r="P161" t="n">
        <v>0</v>
      </c>
      <c r="Q161" t="n">
        <v>0</v>
      </c>
      <c r="R161" s="2" t="inlineStr"/>
    </row>
    <row r="162" ht="15" customHeight="1">
      <c r="A162" t="inlineStr">
        <is>
          <t>A 28193-2020</t>
        </is>
      </c>
      <c r="B162" s="1" t="n">
        <v>43997</v>
      </c>
      <c r="C162" s="1" t="n">
        <v>45736</v>
      </c>
      <c r="D162" t="inlineStr">
        <is>
          <t>ÖREBRO LÄN</t>
        </is>
      </c>
      <c r="E162" t="inlineStr">
        <is>
          <t>HALLSBERG</t>
        </is>
      </c>
      <c r="G162" t="n">
        <v>0.7</v>
      </c>
      <c r="H162" t="n">
        <v>0</v>
      </c>
      <c r="I162" t="n">
        <v>0</v>
      </c>
      <c r="J162" t="n">
        <v>0</v>
      </c>
      <c r="K162" t="n">
        <v>0</v>
      </c>
      <c r="L162" t="n">
        <v>0</v>
      </c>
      <c r="M162" t="n">
        <v>0</v>
      </c>
      <c r="N162" t="n">
        <v>0</v>
      </c>
      <c r="O162" t="n">
        <v>0</v>
      </c>
      <c r="P162" t="n">
        <v>0</v>
      </c>
      <c r="Q162" t="n">
        <v>0</v>
      </c>
      <c r="R162" s="2" t="inlineStr"/>
    </row>
    <row r="163" ht="15" customHeight="1">
      <c r="A163" t="inlineStr">
        <is>
          <t>A 28286-2020</t>
        </is>
      </c>
      <c r="B163" s="1" t="n">
        <v>43998</v>
      </c>
      <c r="C163" s="1" t="n">
        <v>45736</v>
      </c>
      <c r="D163" t="inlineStr">
        <is>
          <t>ÖREBRO LÄN</t>
        </is>
      </c>
      <c r="E163" t="inlineStr">
        <is>
          <t>HALLSBERG</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28316-2020</t>
        </is>
      </c>
      <c r="B164" s="1" t="n">
        <v>43998</v>
      </c>
      <c r="C164" s="1" t="n">
        <v>45736</v>
      </c>
      <c r="D164" t="inlineStr">
        <is>
          <t>ÖREBRO LÄN</t>
        </is>
      </c>
      <c r="E164" t="inlineStr">
        <is>
          <t>HALLSBERG</t>
        </is>
      </c>
      <c r="G164" t="n">
        <v>5.2</v>
      </c>
      <c r="H164" t="n">
        <v>0</v>
      </c>
      <c r="I164" t="n">
        <v>0</v>
      </c>
      <c r="J164" t="n">
        <v>0</v>
      </c>
      <c r="K164" t="n">
        <v>0</v>
      </c>
      <c r="L164" t="n">
        <v>0</v>
      </c>
      <c r="M164" t="n">
        <v>0</v>
      </c>
      <c r="N164" t="n">
        <v>0</v>
      </c>
      <c r="O164" t="n">
        <v>0</v>
      </c>
      <c r="P164" t="n">
        <v>0</v>
      </c>
      <c r="Q164" t="n">
        <v>0</v>
      </c>
      <c r="R164" s="2" t="inlineStr"/>
    </row>
    <row r="165" ht="15" customHeight="1">
      <c r="A165" t="inlineStr">
        <is>
          <t>A 29156-2020</t>
        </is>
      </c>
      <c r="B165" s="1" t="n">
        <v>43999</v>
      </c>
      <c r="C165" s="1" t="n">
        <v>45736</v>
      </c>
      <c r="D165" t="inlineStr">
        <is>
          <t>ÖREBRO LÄN</t>
        </is>
      </c>
      <c r="E165" t="inlineStr">
        <is>
          <t>HALLSBERG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29804-2020</t>
        </is>
      </c>
      <c r="B166" s="1" t="n">
        <v>44006</v>
      </c>
      <c r="C166" s="1" t="n">
        <v>45736</v>
      </c>
      <c r="D166" t="inlineStr">
        <is>
          <t>ÖREBRO LÄN</t>
        </is>
      </c>
      <c r="E166" t="inlineStr">
        <is>
          <t>HALLSBERG</t>
        </is>
      </c>
      <c r="G166" t="n">
        <v>2.6</v>
      </c>
      <c r="H166" t="n">
        <v>0</v>
      </c>
      <c r="I166" t="n">
        <v>0</v>
      </c>
      <c r="J166" t="n">
        <v>0</v>
      </c>
      <c r="K166" t="n">
        <v>0</v>
      </c>
      <c r="L166" t="n">
        <v>0</v>
      </c>
      <c r="M166" t="n">
        <v>0</v>
      </c>
      <c r="N166" t="n">
        <v>0</v>
      </c>
      <c r="O166" t="n">
        <v>0</v>
      </c>
      <c r="P166" t="n">
        <v>0</v>
      </c>
      <c r="Q166" t="n">
        <v>0</v>
      </c>
      <c r="R166" s="2" t="inlineStr"/>
    </row>
    <row r="167" ht="15" customHeight="1">
      <c r="A167" t="inlineStr">
        <is>
          <t>A 32887-2020</t>
        </is>
      </c>
      <c r="B167" s="1" t="n">
        <v>44018</v>
      </c>
      <c r="C167" s="1" t="n">
        <v>45736</v>
      </c>
      <c r="D167" t="inlineStr">
        <is>
          <t>ÖREBRO LÄN</t>
        </is>
      </c>
      <c r="E167" t="inlineStr">
        <is>
          <t>HALLSBERG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32894-2020</t>
        </is>
      </c>
      <c r="B168" s="1" t="n">
        <v>44018</v>
      </c>
      <c r="C168" s="1" t="n">
        <v>45736</v>
      </c>
      <c r="D168" t="inlineStr">
        <is>
          <t>ÖREBRO LÄN</t>
        </is>
      </c>
      <c r="E168" t="inlineStr">
        <is>
          <t>HALLSBERG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33049-2020</t>
        </is>
      </c>
      <c r="B169" s="1" t="n">
        <v>44021</v>
      </c>
      <c r="C169" s="1" t="n">
        <v>45736</v>
      </c>
      <c r="D169" t="inlineStr">
        <is>
          <t>ÖREBRO LÄN</t>
        </is>
      </c>
      <c r="E169" t="inlineStr">
        <is>
          <t>HALLSBERG</t>
        </is>
      </c>
      <c r="G169" t="n">
        <v>2.8</v>
      </c>
      <c r="H169" t="n">
        <v>0</v>
      </c>
      <c r="I169" t="n">
        <v>0</v>
      </c>
      <c r="J169" t="n">
        <v>0</v>
      </c>
      <c r="K169" t="n">
        <v>0</v>
      </c>
      <c r="L169" t="n">
        <v>0</v>
      </c>
      <c r="M169" t="n">
        <v>0</v>
      </c>
      <c r="N169" t="n">
        <v>0</v>
      </c>
      <c r="O169" t="n">
        <v>0</v>
      </c>
      <c r="P169" t="n">
        <v>0</v>
      </c>
      <c r="Q169" t="n">
        <v>0</v>
      </c>
      <c r="R169" s="2" t="inlineStr"/>
    </row>
    <row r="170" ht="15" customHeight="1">
      <c r="A170" t="inlineStr">
        <is>
          <t>A 37900-2020</t>
        </is>
      </c>
      <c r="B170" s="1" t="n">
        <v>44057</v>
      </c>
      <c r="C170" s="1" t="n">
        <v>45736</v>
      </c>
      <c r="D170" t="inlineStr">
        <is>
          <t>ÖREBRO LÄN</t>
        </is>
      </c>
      <c r="E170" t="inlineStr">
        <is>
          <t>HALLSBERG</t>
        </is>
      </c>
      <c r="G170" t="n">
        <v>5.8</v>
      </c>
      <c r="H170" t="n">
        <v>0</v>
      </c>
      <c r="I170" t="n">
        <v>0</v>
      </c>
      <c r="J170" t="n">
        <v>0</v>
      </c>
      <c r="K170" t="n">
        <v>0</v>
      </c>
      <c r="L170" t="n">
        <v>0</v>
      </c>
      <c r="M170" t="n">
        <v>0</v>
      </c>
      <c r="N170" t="n">
        <v>0</v>
      </c>
      <c r="O170" t="n">
        <v>0</v>
      </c>
      <c r="P170" t="n">
        <v>0</v>
      </c>
      <c r="Q170" t="n">
        <v>0</v>
      </c>
      <c r="R170" s="2" t="inlineStr"/>
    </row>
    <row r="171" ht="15" customHeight="1">
      <c r="A171" t="inlineStr">
        <is>
          <t>A 37921-2020</t>
        </is>
      </c>
      <c r="B171" s="1" t="n">
        <v>44057</v>
      </c>
      <c r="C171" s="1" t="n">
        <v>45736</v>
      </c>
      <c r="D171" t="inlineStr">
        <is>
          <t>ÖREBRO LÄN</t>
        </is>
      </c>
      <c r="E171" t="inlineStr">
        <is>
          <t>HALLSBERG</t>
        </is>
      </c>
      <c r="G171" t="n">
        <v>15.9</v>
      </c>
      <c r="H171" t="n">
        <v>0</v>
      </c>
      <c r="I171" t="n">
        <v>0</v>
      </c>
      <c r="J171" t="n">
        <v>0</v>
      </c>
      <c r="K171" t="n">
        <v>0</v>
      </c>
      <c r="L171" t="n">
        <v>0</v>
      </c>
      <c r="M171" t="n">
        <v>0</v>
      </c>
      <c r="N171" t="n">
        <v>0</v>
      </c>
      <c r="O171" t="n">
        <v>0</v>
      </c>
      <c r="P171" t="n">
        <v>0</v>
      </c>
      <c r="Q171" t="n">
        <v>0</v>
      </c>
      <c r="R171" s="2" t="inlineStr"/>
    </row>
    <row r="172" ht="15" customHeight="1">
      <c r="A172" t="inlineStr">
        <is>
          <t>A 37944-2020</t>
        </is>
      </c>
      <c r="B172" s="1" t="n">
        <v>44057</v>
      </c>
      <c r="C172" s="1" t="n">
        <v>45736</v>
      </c>
      <c r="D172" t="inlineStr">
        <is>
          <t>ÖREBRO LÄN</t>
        </is>
      </c>
      <c r="E172" t="inlineStr">
        <is>
          <t>HALLSBERG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39252-2020</t>
        </is>
      </c>
      <c r="B173" s="1" t="n">
        <v>44063</v>
      </c>
      <c r="C173" s="1" t="n">
        <v>45736</v>
      </c>
      <c r="D173" t="inlineStr">
        <is>
          <t>ÖREBRO LÄN</t>
        </is>
      </c>
      <c r="E173" t="inlineStr">
        <is>
          <t>HALLSBERG</t>
        </is>
      </c>
      <c r="G173" t="n">
        <v>1.7</v>
      </c>
      <c r="H173" t="n">
        <v>0</v>
      </c>
      <c r="I173" t="n">
        <v>0</v>
      </c>
      <c r="J173" t="n">
        <v>0</v>
      </c>
      <c r="K173" t="n">
        <v>0</v>
      </c>
      <c r="L173" t="n">
        <v>0</v>
      </c>
      <c r="M173" t="n">
        <v>0</v>
      </c>
      <c r="N173" t="n">
        <v>0</v>
      </c>
      <c r="O173" t="n">
        <v>0</v>
      </c>
      <c r="P173" t="n">
        <v>0</v>
      </c>
      <c r="Q173" t="n">
        <v>0</v>
      </c>
      <c r="R173" s="2" t="inlineStr"/>
    </row>
    <row r="174" ht="15" customHeight="1">
      <c r="A174" t="inlineStr">
        <is>
          <t>A 39995-2020</t>
        </is>
      </c>
      <c r="B174" s="1" t="n">
        <v>44064</v>
      </c>
      <c r="C174" s="1" t="n">
        <v>45736</v>
      </c>
      <c r="D174" t="inlineStr">
        <is>
          <t>ÖREBRO LÄN</t>
        </is>
      </c>
      <c r="E174" t="inlineStr">
        <is>
          <t>HALLSBERG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41179-2020</t>
        </is>
      </c>
      <c r="B175" s="1" t="n">
        <v>44071</v>
      </c>
      <c r="C175" s="1" t="n">
        <v>45736</v>
      </c>
      <c r="D175" t="inlineStr">
        <is>
          <t>ÖREBRO LÄN</t>
        </is>
      </c>
      <c r="E175" t="inlineStr">
        <is>
          <t>HALLSBERG</t>
        </is>
      </c>
      <c r="G175" t="n">
        <v>21.1</v>
      </c>
      <c r="H175" t="n">
        <v>0</v>
      </c>
      <c r="I175" t="n">
        <v>0</v>
      </c>
      <c r="J175" t="n">
        <v>0</v>
      </c>
      <c r="K175" t="n">
        <v>0</v>
      </c>
      <c r="L175" t="n">
        <v>0</v>
      </c>
      <c r="M175" t="n">
        <v>0</v>
      </c>
      <c r="N175" t="n">
        <v>0</v>
      </c>
      <c r="O175" t="n">
        <v>0</v>
      </c>
      <c r="P175" t="n">
        <v>0</v>
      </c>
      <c r="Q175" t="n">
        <v>0</v>
      </c>
      <c r="R175" s="2" t="inlineStr"/>
    </row>
    <row r="176" ht="15" customHeight="1">
      <c r="A176" t="inlineStr">
        <is>
          <t>A 42074-2020</t>
        </is>
      </c>
      <c r="B176" s="1" t="n">
        <v>44075</v>
      </c>
      <c r="C176" s="1" t="n">
        <v>45736</v>
      </c>
      <c r="D176" t="inlineStr">
        <is>
          <t>ÖREBRO LÄN</t>
        </is>
      </c>
      <c r="E176" t="inlineStr">
        <is>
          <t>HALLSBERG</t>
        </is>
      </c>
      <c r="G176" t="n">
        <v>1.6</v>
      </c>
      <c r="H176" t="n">
        <v>0</v>
      </c>
      <c r="I176" t="n">
        <v>0</v>
      </c>
      <c r="J176" t="n">
        <v>0</v>
      </c>
      <c r="K176" t="n">
        <v>0</v>
      </c>
      <c r="L176" t="n">
        <v>0</v>
      </c>
      <c r="M176" t="n">
        <v>0</v>
      </c>
      <c r="N176" t="n">
        <v>0</v>
      </c>
      <c r="O176" t="n">
        <v>0</v>
      </c>
      <c r="P176" t="n">
        <v>0</v>
      </c>
      <c r="Q176" t="n">
        <v>0</v>
      </c>
      <c r="R176" s="2" t="inlineStr"/>
    </row>
    <row r="177" ht="15" customHeight="1">
      <c r="A177" t="inlineStr">
        <is>
          <t>A 43007-2020</t>
        </is>
      </c>
      <c r="B177" s="1" t="n">
        <v>44078</v>
      </c>
      <c r="C177" s="1" t="n">
        <v>45736</v>
      </c>
      <c r="D177" t="inlineStr">
        <is>
          <t>ÖREBRO LÄN</t>
        </is>
      </c>
      <c r="E177" t="inlineStr">
        <is>
          <t>HALLSBERG</t>
        </is>
      </c>
      <c r="F177" t="inlineStr">
        <is>
          <t>Kommuner</t>
        </is>
      </c>
      <c r="G177" t="n">
        <v>2.4</v>
      </c>
      <c r="H177" t="n">
        <v>0</v>
      </c>
      <c r="I177" t="n">
        <v>0</v>
      </c>
      <c r="J177" t="n">
        <v>0</v>
      </c>
      <c r="K177" t="n">
        <v>0</v>
      </c>
      <c r="L177" t="n">
        <v>0</v>
      </c>
      <c r="M177" t="n">
        <v>0</v>
      </c>
      <c r="N177" t="n">
        <v>0</v>
      </c>
      <c r="O177" t="n">
        <v>0</v>
      </c>
      <c r="P177" t="n">
        <v>0</v>
      </c>
      <c r="Q177" t="n">
        <v>0</v>
      </c>
      <c r="R177" s="2" t="inlineStr"/>
    </row>
    <row r="178" ht="15" customHeight="1">
      <c r="A178" t="inlineStr">
        <is>
          <t>A 42903-2020</t>
        </is>
      </c>
      <c r="B178" s="1" t="n">
        <v>44078</v>
      </c>
      <c r="C178" s="1" t="n">
        <v>45736</v>
      </c>
      <c r="D178" t="inlineStr">
        <is>
          <t>ÖREBRO LÄN</t>
        </is>
      </c>
      <c r="E178" t="inlineStr">
        <is>
          <t>HALLSBERG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46025-2020</t>
        </is>
      </c>
      <c r="B179" s="1" t="n">
        <v>44088</v>
      </c>
      <c r="C179" s="1" t="n">
        <v>45736</v>
      </c>
      <c r="D179" t="inlineStr">
        <is>
          <t>ÖREBRO LÄN</t>
        </is>
      </c>
      <c r="E179" t="inlineStr">
        <is>
          <t>HALLSBERG</t>
        </is>
      </c>
      <c r="G179" t="n">
        <v>1.7</v>
      </c>
      <c r="H179" t="n">
        <v>0</v>
      </c>
      <c r="I179" t="n">
        <v>0</v>
      </c>
      <c r="J179" t="n">
        <v>0</v>
      </c>
      <c r="K179" t="n">
        <v>0</v>
      </c>
      <c r="L179" t="n">
        <v>0</v>
      </c>
      <c r="M179" t="n">
        <v>0</v>
      </c>
      <c r="N179" t="n">
        <v>0</v>
      </c>
      <c r="O179" t="n">
        <v>0</v>
      </c>
      <c r="P179" t="n">
        <v>0</v>
      </c>
      <c r="Q179" t="n">
        <v>0</v>
      </c>
      <c r="R179" s="2" t="inlineStr"/>
    </row>
    <row r="180" ht="15" customHeight="1">
      <c r="A180" t="inlineStr">
        <is>
          <t>A 46305-2020</t>
        </is>
      </c>
      <c r="B180" s="1" t="n">
        <v>44092</v>
      </c>
      <c r="C180" s="1" t="n">
        <v>45736</v>
      </c>
      <c r="D180" t="inlineStr">
        <is>
          <t>ÖREBRO LÄN</t>
        </is>
      </c>
      <c r="E180" t="inlineStr">
        <is>
          <t>HALLSBERG</t>
        </is>
      </c>
      <c r="G180" t="n">
        <v>1.3</v>
      </c>
      <c r="H180" t="n">
        <v>0</v>
      </c>
      <c r="I180" t="n">
        <v>0</v>
      </c>
      <c r="J180" t="n">
        <v>0</v>
      </c>
      <c r="K180" t="n">
        <v>0</v>
      </c>
      <c r="L180" t="n">
        <v>0</v>
      </c>
      <c r="M180" t="n">
        <v>0</v>
      </c>
      <c r="N180" t="n">
        <v>0</v>
      </c>
      <c r="O180" t="n">
        <v>0</v>
      </c>
      <c r="P180" t="n">
        <v>0</v>
      </c>
      <c r="Q180" t="n">
        <v>0</v>
      </c>
      <c r="R180" s="2" t="inlineStr"/>
    </row>
    <row r="181" ht="15" customHeight="1">
      <c r="A181" t="inlineStr">
        <is>
          <t>A 47322-2020</t>
        </is>
      </c>
      <c r="B181" s="1" t="n">
        <v>44097</v>
      </c>
      <c r="C181" s="1" t="n">
        <v>45736</v>
      </c>
      <c r="D181" t="inlineStr">
        <is>
          <t>ÖREBRO LÄN</t>
        </is>
      </c>
      <c r="E181" t="inlineStr">
        <is>
          <t>HALLSBERG</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48725-2020</t>
        </is>
      </c>
      <c r="B182" s="1" t="n">
        <v>44099</v>
      </c>
      <c r="C182" s="1" t="n">
        <v>45736</v>
      </c>
      <c r="D182" t="inlineStr">
        <is>
          <t>ÖREBRO LÄN</t>
        </is>
      </c>
      <c r="E182" t="inlineStr">
        <is>
          <t>HALLSBERG</t>
        </is>
      </c>
      <c r="G182" t="n">
        <v>4.4</v>
      </c>
      <c r="H182" t="n">
        <v>0</v>
      </c>
      <c r="I182" t="n">
        <v>0</v>
      </c>
      <c r="J182" t="n">
        <v>0</v>
      </c>
      <c r="K182" t="n">
        <v>0</v>
      </c>
      <c r="L182" t="n">
        <v>0</v>
      </c>
      <c r="M182" t="n">
        <v>0</v>
      </c>
      <c r="N182" t="n">
        <v>0</v>
      </c>
      <c r="O182" t="n">
        <v>0</v>
      </c>
      <c r="P182" t="n">
        <v>0</v>
      </c>
      <c r="Q182" t="n">
        <v>0</v>
      </c>
      <c r="R182" s="2" t="inlineStr"/>
    </row>
    <row r="183" ht="15" customHeight="1">
      <c r="A183" t="inlineStr">
        <is>
          <t>A 58208-2020</t>
        </is>
      </c>
      <c r="B183" s="1" t="n">
        <v>44144</v>
      </c>
      <c r="C183" s="1" t="n">
        <v>45736</v>
      </c>
      <c r="D183" t="inlineStr">
        <is>
          <t>ÖREBRO LÄN</t>
        </is>
      </c>
      <c r="E183" t="inlineStr">
        <is>
          <t>HALLSBERG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58215-2020</t>
        </is>
      </c>
      <c r="B184" s="1" t="n">
        <v>44144</v>
      </c>
      <c r="C184" s="1" t="n">
        <v>45736</v>
      </c>
      <c r="D184" t="inlineStr">
        <is>
          <t>ÖREBRO LÄN</t>
        </is>
      </c>
      <c r="E184" t="inlineStr">
        <is>
          <t>HALLSBERG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59076-2020</t>
        </is>
      </c>
      <c r="B185" s="1" t="n">
        <v>44147</v>
      </c>
      <c r="C185" s="1" t="n">
        <v>45736</v>
      </c>
      <c r="D185" t="inlineStr">
        <is>
          <t>ÖREBRO LÄN</t>
        </is>
      </c>
      <c r="E185" t="inlineStr">
        <is>
          <t>HALLSBERG</t>
        </is>
      </c>
      <c r="F185" t="inlineStr">
        <is>
          <t>Allmännings- och besparingsskogar</t>
        </is>
      </c>
      <c r="G185" t="n">
        <v>0.6</v>
      </c>
      <c r="H185" t="n">
        <v>0</v>
      </c>
      <c r="I185" t="n">
        <v>0</v>
      </c>
      <c r="J185" t="n">
        <v>0</v>
      </c>
      <c r="K185" t="n">
        <v>0</v>
      </c>
      <c r="L185" t="n">
        <v>0</v>
      </c>
      <c r="M185" t="n">
        <v>0</v>
      </c>
      <c r="N185" t="n">
        <v>0</v>
      </c>
      <c r="O185" t="n">
        <v>0</v>
      </c>
      <c r="P185" t="n">
        <v>0</v>
      </c>
      <c r="Q185" t="n">
        <v>0</v>
      </c>
      <c r="R185" s="2" t="inlineStr"/>
    </row>
    <row r="186" ht="15" customHeight="1">
      <c r="A186" t="inlineStr">
        <is>
          <t>A 60548-2020</t>
        </is>
      </c>
      <c r="B186" s="1" t="n">
        <v>44153</v>
      </c>
      <c r="C186" s="1" t="n">
        <v>45736</v>
      </c>
      <c r="D186" t="inlineStr">
        <is>
          <t>ÖREBRO LÄN</t>
        </is>
      </c>
      <c r="E186" t="inlineStr">
        <is>
          <t>HALLSBERG</t>
        </is>
      </c>
      <c r="G186" t="n">
        <v>1.3</v>
      </c>
      <c r="H186" t="n">
        <v>0</v>
      </c>
      <c r="I186" t="n">
        <v>0</v>
      </c>
      <c r="J186" t="n">
        <v>0</v>
      </c>
      <c r="K186" t="n">
        <v>0</v>
      </c>
      <c r="L186" t="n">
        <v>0</v>
      </c>
      <c r="M186" t="n">
        <v>0</v>
      </c>
      <c r="N186" t="n">
        <v>0</v>
      </c>
      <c r="O186" t="n">
        <v>0</v>
      </c>
      <c r="P186" t="n">
        <v>0</v>
      </c>
      <c r="Q186" t="n">
        <v>0</v>
      </c>
      <c r="R186" s="2" t="inlineStr"/>
    </row>
    <row r="187" ht="15" customHeight="1">
      <c r="A187" t="inlineStr">
        <is>
          <t>A 62939-2020</t>
        </is>
      </c>
      <c r="B187" s="1" t="n">
        <v>44161</v>
      </c>
      <c r="C187" s="1" t="n">
        <v>45736</v>
      </c>
      <c r="D187" t="inlineStr">
        <is>
          <t>ÖREBRO LÄN</t>
        </is>
      </c>
      <c r="E187" t="inlineStr">
        <is>
          <t>HALLSBERG</t>
        </is>
      </c>
      <c r="G187" t="n">
        <v>3.7</v>
      </c>
      <c r="H187" t="n">
        <v>0</v>
      </c>
      <c r="I187" t="n">
        <v>0</v>
      </c>
      <c r="J187" t="n">
        <v>0</v>
      </c>
      <c r="K187" t="n">
        <v>0</v>
      </c>
      <c r="L187" t="n">
        <v>0</v>
      </c>
      <c r="M187" t="n">
        <v>0</v>
      </c>
      <c r="N187" t="n">
        <v>0</v>
      </c>
      <c r="O187" t="n">
        <v>0</v>
      </c>
      <c r="P187" t="n">
        <v>0</v>
      </c>
      <c r="Q187" t="n">
        <v>0</v>
      </c>
      <c r="R187" s="2" t="inlineStr"/>
    </row>
    <row r="188" ht="15" customHeight="1">
      <c r="A188" t="inlineStr">
        <is>
          <t>A 63748-2020</t>
        </is>
      </c>
      <c r="B188" s="1" t="n">
        <v>44166</v>
      </c>
      <c r="C188" s="1" t="n">
        <v>45736</v>
      </c>
      <c r="D188" t="inlineStr">
        <is>
          <t>ÖREBRO LÄN</t>
        </is>
      </c>
      <c r="E188" t="inlineStr">
        <is>
          <t>HALLSBERG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1618-2021</t>
        </is>
      </c>
      <c r="B189" s="1" t="n">
        <v>44209</v>
      </c>
      <c r="C189" s="1" t="n">
        <v>45736</v>
      </c>
      <c r="D189" t="inlineStr">
        <is>
          <t>ÖREBRO LÄN</t>
        </is>
      </c>
      <c r="E189" t="inlineStr">
        <is>
          <t>HALLSBERG</t>
        </is>
      </c>
      <c r="G189" t="n">
        <v>1.9</v>
      </c>
      <c r="H189" t="n">
        <v>0</v>
      </c>
      <c r="I189" t="n">
        <v>0</v>
      </c>
      <c r="J189" t="n">
        <v>0</v>
      </c>
      <c r="K189" t="n">
        <v>0</v>
      </c>
      <c r="L189" t="n">
        <v>0</v>
      </c>
      <c r="M189" t="n">
        <v>0</v>
      </c>
      <c r="N189" t="n">
        <v>0</v>
      </c>
      <c r="O189" t="n">
        <v>0</v>
      </c>
      <c r="P189" t="n">
        <v>0</v>
      </c>
      <c r="Q189" t="n">
        <v>0</v>
      </c>
      <c r="R189" s="2" t="inlineStr"/>
    </row>
    <row r="190" ht="15" customHeight="1">
      <c r="A190" t="inlineStr">
        <is>
          <t>A 2303-2021</t>
        </is>
      </c>
      <c r="B190" s="1" t="n">
        <v>44213</v>
      </c>
      <c r="C190" s="1" t="n">
        <v>45736</v>
      </c>
      <c r="D190" t="inlineStr">
        <is>
          <t>ÖREBRO LÄN</t>
        </is>
      </c>
      <c r="E190" t="inlineStr">
        <is>
          <t>HALLSBERG</t>
        </is>
      </c>
      <c r="G190" t="n">
        <v>3.1</v>
      </c>
      <c r="H190" t="n">
        <v>0</v>
      </c>
      <c r="I190" t="n">
        <v>0</v>
      </c>
      <c r="J190" t="n">
        <v>0</v>
      </c>
      <c r="K190" t="n">
        <v>0</v>
      </c>
      <c r="L190" t="n">
        <v>0</v>
      </c>
      <c r="M190" t="n">
        <v>0</v>
      </c>
      <c r="N190" t="n">
        <v>0</v>
      </c>
      <c r="O190" t="n">
        <v>0</v>
      </c>
      <c r="P190" t="n">
        <v>0</v>
      </c>
      <c r="Q190" t="n">
        <v>0</v>
      </c>
      <c r="R190" s="2" t="inlineStr"/>
    </row>
    <row r="191" ht="15" customHeight="1">
      <c r="A191" t="inlineStr">
        <is>
          <t>A 5101-2021</t>
        </is>
      </c>
      <c r="B191" s="1" t="n">
        <v>44224</v>
      </c>
      <c r="C191" s="1" t="n">
        <v>45736</v>
      </c>
      <c r="D191" t="inlineStr">
        <is>
          <t>ÖREBRO LÄN</t>
        </is>
      </c>
      <c r="E191" t="inlineStr">
        <is>
          <t>HALLSBERG</t>
        </is>
      </c>
      <c r="G191" t="n">
        <v>2.9</v>
      </c>
      <c r="H191" t="n">
        <v>0</v>
      </c>
      <c r="I191" t="n">
        <v>0</v>
      </c>
      <c r="J191" t="n">
        <v>0</v>
      </c>
      <c r="K191" t="n">
        <v>0</v>
      </c>
      <c r="L191" t="n">
        <v>0</v>
      </c>
      <c r="M191" t="n">
        <v>0</v>
      </c>
      <c r="N191" t="n">
        <v>0</v>
      </c>
      <c r="O191" t="n">
        <v>0</v>
      </c>
      <c r="P191" t="n">
        <v>0</v>
      </c>
      <c r="Q191" t="n">
        <v>0</v>
      </c>
      <c r="R191" s="2" t="inlineStr"/>
    </row>
    <row r="192" ht="15" customHeight="1">
      <c r="A192" t="inlineStr">
        <is>
          <t>A 5651-2021</t>
        </is>
      </c>
      <c r="B192" s="1" t="n">
        <v>44230</v>
      </c>
      <c r="C192" s="1" t="n">
        <v>45736</v>
      </c>
      <c r="D192" t="inlineStr">
        <is>
          <t>ÖREBRO LÄN</t>
        </is>
      </c>
      <c r="E192" t="inlineStr">
        <is>
          <t>HALLSBERG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7188-2021</t>
        </is>
      </c>
      <c r="B193" s="1" t="n">
        <v>44238</v>
      </c>
      <c r="C193" s="1" t="n">
        <v>45736</v>
      </c>
      <c r="D193" t="inlineStr">
        <is>
          <t>ÖREBRO LÄN</t>
        </is>
      </c>
      <c r="E193" t="inlineStr">
        <is>
          <t>HALLSBERG</t>
        </is>
      </c>
      <c r="F193" t="inlineStr">
        <is>
          <t>Övriga Aktiebolag</t>
        </is>
      </c>
      <c r="G193" t="n">
        <v>1.8</v>
      </c>
      <c r="H193" t="n">
        <v>0</v>
      </c>
      <c r="I193" t="n">
        <v>0</v>
      </c>
      <c r="J193" t="n">
        <v>0</v>
      </c>
      <c r="K193" t="n">
        <v>0</v>
      </c>
      <c r="L193" t="n">
        <v>0</v>
      </c>
      <c r="M193" t="n">
        <v>0</v>
      </c>
      <c r="N193" t="n">
        <v>0</v>
      </c>
      <c r="O193" t="n">
        <v>0</v>
      </c>
      <c r="P193" t="n">
        <v>0</v>
      </c>
      <c r="Q193" t="n">
        <v>0</v>
      </c>
      <c r="R193" s="2" t="inlineStr"/>
    </row>
    <row r="194" ht="15" customHeight="1">
      <c r="A194" t="inlineStr">
        <is>
          <t>A 10691-2021</t>
        </is>
      </c>
      <c r="B194" s="1" t="n">
        <v>44258</v>
      </c>
      <c r="C194" s="1" t="n">
        <v>45736</v>
      </c>
      <c r="D194" t="inlineStr">
        <is>
          <t>ÖREBRO LÄN</t>
        </is>
      </c>
      <c r="E194" t="inlineStr">
        <is>
          <t>HALLSBERG</t>
        </is>
      </c>
      <c r="G194" t="n">
        <v>1</v>
      </c>
      <c r="H194" t="n">
        <v>0</v>
      </c>
      <c r="I194" t="n">
        <v>0</v>
      </c>
      <c r="J194" t="n">
        <v>0</v>
      </c>
      <c r="K194" t="n">
        <v>0</v>
      </c>
      <c r="L194" t="n">
        <v>0</v>
      </c>
      <c r="M194" t="n">
        <v>0</v>
      </c>
      <c r="N194" t="n">
        <v>0</v>
      </c>
      <c r="O194" t="n">
        <v>0</v>
      </c>
      <c r="P194" t="n">
        <v>0</v>
      </c>
      <c r="Q194" t="n">
        <v>0</v>
      </c>
      <c r="R194" s="2" t="inlineStr"/>
    </row>
    <row r="195" ht="15" customHeight="1">
      <c r="A195" t="inlineStr">
        <is>
          <t>A 12461-2021</t>
        </is>
      </c>
      <c r="B195" s="1" t="n">
        <v>44267</v>
      </c>
      <c r="C195" s="1" t="n">
        <v>45736</v>
      </c>
      <c r="D195" t="inlineStr">
        <is>
          <t>ÖREBRO LÄN</t>
        </is>
      </c>
      <c r="E195" t="inlineStr">
        <is>
          <t>HALLSBERG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20335-2021</t>
        </is>
      </c>
      <c r="B196" s="1" t="n">
        <v>44315</v>
      </c>
      <c r="C196" s="1" t="n">
        <v>45736</v>
      </c>
      <c r="D196" t="inlineStr">
        <is>
          <t>ÖREBRO LÄN</t>
        </is>
      </c>
      <c r="E196" t="inlineStr">
        <is>
          <t>HALLSBERG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23856-2021</t>
        </is>
      </c>
      <c r="B197" s="1" t="n">
        <v>44335</v>
      </c>
      <c r="C197" s="1" t="n">
        <v>45736</v>
      </c>
      <c r="D197" t="inlineStr">
        <is>
          <t>ÖREBRO LÄN</t>
        </is>
      </c>
      <c r="E197" t="inlineStr">
        <is>
          <t>HALLSBERG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24045-2021</t>
        </is>
      </c>
      <c r="B198" s="1" t="n">
        <v>44336</v>
      </c>
      <c r="C198" s="1" t="n">
        <v>45736</v>
      </c>
      <c r="D198" t="inlineStr">
        <is>
          <t>ÖREBRO LÄN</t>
        </is>
      </c>
      <c r="E198" t="inlineStr">
        <is>
          <t>HALLSBERG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24876-2021</t>
        </is>
      </c>
      <c r="B199" s="1" t="n">
        <v>44341</v>
      </c>
      <c r="C199" s="1" t="n">
        <v>45736</v>
      </c>
      <c r="D199" t="inlineStr">
        <is>
          <t>ÖREBRO LÄN</t>
        </is>
      </c>
      <c r="E199" t="inlineStr">
        <is>
          <t>HALLSBERG</t>
        </is>
      </c>
      <c r="G199" t="n">
        <v>3.3</v>
      </c>
      <c r="H199" t="n">
        <v>0</v>
      </c>
      <c r="I199" t="n">
        <v>0</v>
      </c>
      <c r="J199" t="n">
        <v>0</v>
      </c>
      <c r="K199" t="n">
        <v>0</v>
      </c>
      <c r="L199" t="n">
        <v>0</v>
      </c>
      <c r="M199" t="n">
        <v>0</v>
      </c>
      <c r="N199" t="n">
        <v>0</v>
      </c>
      <c r="O199" t="n">
        <v>0</v>
      </c>
      <c r="P199" t="n">
        <v>0</v>
      </c>
      <c r="Q199" t="n">
        <v>0</v>
      </c>
      <c r="R199" s="2" t="inlineStr"/>
    </row>
    <row r="200" ht="15" customHeight="1">
      <c r="A200" t="inlineStr">
        <is>
          <t>A 24897-2021</t>
        </is>
      </c>
      <c r="B200" s="1" t="n">
        <v>44341</v>
      </c>
      <c r="C200" s="1" t="n">
        <v>45736</v>
      </c>
      <c r="D200" t="inlineStr">
        <is>
          <t>ÖREBRO LÄN</t>
        </is>
      </c>
      <c r="E200" t="inlineStr">
        <is>
          <t>HALLSBERG</t>
        </is>
      </c>
      <c r="G200" t="n">
        <v>1.9</v>
      </c>
      <c r="H200" t="n">
        <v>0</v>
      </c>
      <c r="I200" t="n">
        <v>0</v>
      </c>
      <c r="J200" t="n">
        <v>0</v>
      </c>
      <c r="K200" t="n">
        <v>0</v>
      </c>
      <c r="L200" t="n">
        <v>0</v>
      </c>
      <c r="M200" t="n">
        <v>0</v>
      </c>
      <c r="N200" t="n">
        <v>0</v>
      </c>
      <c r="O200" t="n">
        <v>0</v>
      </c>
      <c r="P200" t="n">
        <v>0</v>
      </c>
      <c r="Q200" t="n">
        <v>0</v>
      </c>
      <c r="R200" s="2" t="inlineStr"/>
    </row>
    <row r="201" ht="15" customHeight="1">
      <c r="A201" t="inlineStr">
        <is>
          <t>A 25734-2021</t>
        </is>
      </c>
      <c r="B201" s="1" t="n">
        <v>44343</v>
      </c>
      <c r="C201" s="1" t="n">
        <v>45736</v>
      </c>
      <c r="D201" t="inlineStr">
        <is>
          <t>ÖREBRO LÄN</t>
        </is>
      </c>
      <c r="E201" t="inlineStr">
        <is>
          <t>HALLSBERG</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25718-2021</t>
        </is>
      </c>
      <c r="B202" s="1" t="n">
        <v>44343</v>
      </c>
      <c r="C202" s="1" t="n">
        <v>45736</v>
      </c>
      <c r="D202" t="inlineStr">
        <is>
          <t>ÖREBRO LÄN</t>
        </is>
      </c>
      <c r="E202" t="inlineStr">
        <is>
          <t>HALLSBERG</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29503-2021</t>
        </is>
      </c>
      <c r="B203" s="1" t="n">
        <v>44361</v>
      </c>
      <c r="C203" s="1" t="n">
        <v>45736</v>
      </c>
      <c r="D203" t="inlineStr">
        <is>
          <t>ÖREBRO LÄN</t>
        </is>
      </c>
      <c r="E203" t="inlineStr">
        <is>
          <t>HALLSBERG</t>
        </is>
      </c>
      <c r="G203" t="n">
        <v>1.2</v>
      </c>
      <c r="H203" t="n">
        <v>0</v>
      </c>
      <c r="I203" t="n">
        <v>0</v>
      </c>
      <c r="J203" t="n">
        <v>0</v>
      </c>
      <c r="K203" t="n">
        <v>0</v>
      </c>
      <c r="L203" t="n">
        <v>0</v>
      </c>
      <c r="M203" t="n">
        <v>0</v>
      </c>
      <c r="N203" t="n">
        <v>0</v>
      </c>
      <c r="O203" t="n">
        <v>0</v>
      </c>
      <c r="P203" t="n">
        <v>0</v>
      </c>
      <c r="Q203" t="n">
        <v>0</v>
      </c>
      <c r="R203" s="2" t="inlineStr"/>
    </row>
    <row r="204" ht="15" customHeight="1">
      <c r="A204" t="inlineStr">
        <is>
          <t>A 31492-2021</t>
        </is>
      </c>
      <c r="B204" s="1" t="n">
        <v>44369</v>
      </c>
      <c r="C204" s="1" t="n">
        <v>45736</v>
      </c>
      <c r="D204" t="inlineStr">
        <is>
          <t>ÖREBRO LÄN</t>
        </is>
      </c>
      <c r="E204" t="inlineStr">
        <is>
          <t>HALLSBERG</t>
        </is>
      </c>
      <c r="G204" t="n">
        <v>2</v>
      </c>
      <c r="H204" t="n">
        <v>0</v>
      </c>
      <c r="I204" t="n">
        <v>0</v>
      </c>
      <c r="J204" t="n">
        <v>0</v>
      </c>
      <c r="K204" t="n">
        <v>0</v>
      </c>
      <c r="L204" t="n">
        <v>0</v>
      </c>
      <c r="M204" t="n">
        <v>0</v>
      </c>
      <c r="N204" t="n">
        <v>0</v>
      </c>
      <c r="O204" t="n">
        <v>0</v>
      </c>
      <c r="P204" t="n">
        <v>0</v>
      </c>
      <c r="Q204" t="n">
        <v>0</v>
      </c>
      <c r="R204" s="2" t="inlineStr"/>
    </row>
    <row r="205" ht="15" customHeight="1">
      <c r="A205" t="inlineStr">
        <is>
          <t>A 31480-2021</t>
        </is>
      </c>
      <c r="B205" s="1" t="n">
        <v>44369</v>
      </c>
      <c r="C205" s="1" t="n">
        <v>45736</v>
      </c>
      <c r="D205" t="inlineStr">
        <is>
          <t>ÖREBRO LÄN</t>
        </is>
      </c>
      <c r="E205" t="inlineStr">
        <is>
          <t>HALLSBERG</t>
        </is>
      </c>
      <c r="G205" t="n">
        <v>3.7</v>
      </c>
      <c r="H205" t="n">
        <v>0</v>
      </c>
      <c r="I205" t="n">
        <v>0</v>
      </c>
      <c r="J205" t="n">
        <v>0</v>
      </c>
      <c r="K205" t="n">
        <v>0</v>
      </c>
      <c r="L205" t="n">
        <v>0</v>
      </c>
      <c r="M205" t="n">
        <v>0</v>
      </c>
      <c r="N205" t="n">
        <v>0</v>
      </c>
      <c r="O205" t="n">
        <v>0</v>
      </c>
      <c r="P205" t="n">
        <v>0</v>
      </c>
      <c r="Q205" t="n">
        <v>0</v>
      </c>
      <c r="R205" s="2" t="inlineStr"/>
    </row>
    <row r="206" ht="15" customHeight="1">
      <c r="A206" t="inlineStr">
        <is>
          <t>A 33290-2021</t>
        </is>
      </c>
      <c r="B206" s="1" t="n">
        <v>44377</v>
      </c>
      <c r="C206" s="1" t="n">
        <v>45736</v>
      </c>
      <c r="D206" t="inlineStr">
        <is>
          <t>ÖREBRO LÄN</t>
        </is>
      </c>
      <c r="E206" t="inlineStr">
        <is>
          <t>HALLSBERG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36591-2021</t>
        </is>
      </c>
      <c r="B207" s="1" t="n">
        <v>44391</v>
      </c>
      <c r="C207" s="1" t="n">
        <v>45736</v>
      </c>
      <c r="D207" t="inlineStr">
        <is>
          <t>ÖREBRO LÄN</t>
        </is>
      </c>
      <c r="E207" t="inlineStr">
        <is>
          <t>HALLSBERG</t>
        </is>
      </c>
      <c r="G207" t="n">
        <v>0.3</v>
      </c>
      <c r="H207" t="n">
        <v>0</v>
      </c>
      <c r="I207" t="n">
        <v>0</v>
      </c>
      <c r="J207" t="n">
        <v>0</v>
      </c>
      <c r="K207" t="n">
        <v>0</v>
      </c>
      <c r="L207" t="n">
        <v>0</v>
      </c>
      <c r="M207" t="n">
        <v>0</v>
      </c>
      <c r="N207" t="n">
        <v>0</v>
      </c>
      <c r="O207" t="n">
        <v>0</v>
      </c>
      <c r="P207" t="n">
        <v>0</v>
      </c>
      <c r="Q207" t="n">
        <v>0</v>
      </c>
      <c r="R207" s="2" t="inlineStr"/>
    </row>
    <row r="208" ht="15" customHeight="1">
      <c r="A208" t="inlineStr">
        <is>
          <t>A 38131-2021</t>
        </is>
      </c>
      <c r="B208" s="1" t="n">
        <v>44404</v>
      </c>
      <c r="C208" s="1" t="n">
        <v>45736</v>
      </c>
      <c r="D208" t="inlineStr">
        <is>
          <t>ÖREBRO LÄN</t>
        </is>
      </c>
      <c r="E208" t="inlineStr">
        <is>
          <t>HALLSBERG</t>
        </is>
      </c>
      <c r="G208" t="n">
        <v>1.6</v>
      </c>
      <c r="H208" t="n">
        <v>0</v>
      </c>
      <c r="I208" t="n">
        <v>0</v>
      </c>
      <c r="J208" t="n">
        <v>0</v>
      </c>
      <c r="K208" t="n">
        <v>0</v>
      </c>
      <c r="L208" t="n">
        <v>0</v>
      </c>
      <c r="M208" t="n">
        <v>0</v>
      </c>
      <c r="N208" t="n">
        <v>0</v>
      </c>
      <c r="O208" t="n">
        <v>0</v>
      </c>
      <c r="P208" t="n">
        <v>0</v>
      </c>
      <c r="Q208" t="n">
        <v>0</v>
      </c>
      <c r="R208" s="2" t="inlineStr"/>
    </row>
    <row r="209" ht="15" customHeight="1">
      <c r="A209" t="inlineStr">
        <is>
          <t>A 38927-2021</t>
        </is>
      </c>
      <c r="B209" s="1" t="n">
        <v>44411</v>
      </c>
      <c r="C209" s="1" t="n">
        <v>45736</v>
      </c>
      <c r="D209" t="inlineStr">
        <is>
          <t>ÖREBRO LÄN</t>
        </is>
      </c>
      <c r="E209" t="inlineStr">
        <is>
          <t>HALLSBERG</t>
        </is>
      </c>
      <c r="G209" t="n">
        <v>0.7</v>
      </c>
      <c r="H209" t="n">
        <v>0</v>
      </c>
      <c r="I209" t="n">
        <v>0</v>
      </c>
      <c r="J209" t="n">
        <v>0</v>
      </c>
      <c r="K209" t="n">
        <v>0</v>
      </c>
      <c r="L209" t="n">
        <v>0</v>
      </c>
      <c r="M209" t="n">
        <v>0</v>
      </c>
      <c r="N209" t="n">
        <v>0</v>
      </c>
      <c r="O209" t="n">
        <v>0</v>
      </c>
      <c r="P209" t="n">
        <v>0</v>
      </c>
      <c r="Q209" t="n">
        <v>0</v>
      </c>
      <c r="R209" s="2" t="inlineStr"/>
    </row>
    <row r="210" ht="15" customHeight="1">
      <c r="A210" t="inlineStr">
        <is>
          <t>A 39057-2021</t>
        </is>
      </c>
      <c r="B210" s="1" t="n">
        <v>44412</v>
      </c>
      <c r="C210" s="1" t="n">
        <v>45736</v>
      </c>
      <c r="D210" t="inlineStr">
        <is>
          <t>ÖREBRO LÄN</t>
        </is>
      </c>
      <c r="E210" t="inlineStr">
        <is>
          <t>HALLSBERG</t>
        </is>
      </c>
      <c r="G210" t="n">
        <v>1</v>
      </c>
      <c r="H210" t="n">
        <v>0</v>
      </c>
      <c r="I210" t="n">
        <v>0</v>
      </c>
      <c r="J210" t="n">
        <v>0</v>
      </c>
      <c r="K210" t="n">
        <v>0</v>
      </c>
      <c r="L210" t="n">
        <v>0</v>
      </c>
      <c r="M210" t="n">
        <v>0</v>
      </c>
      <c r="N210" t="n">
        <v>0</v>
      </c>
      <c r="O210" t="n">
        <v>0</v>
      </c>
      <c r="P210" t="n">
        <v>0</v>
      </c>
      <c r="Q210" t="n">
        <v>0</v>
      </c>
      <c r="R210" s="2" t="inlineStr"/>
    </row>
    <row r="211" ht="15" customHeight="1">
      <c r="A211" t="inlineStr">
        <is>
          <t>A 39466-2021</t>
        </is>
      </c>
      <c r="B211" s="1" t="n">
        <v>44414</v>
      </c>
      <c r="C211" s="1" t="n">
        <v>45736</v>
      </c>
      <c r="D211" t="inlineStr">
        <is>
          <t>ÖREBRO LÄN</t>
        </is>
      </c>
      <c r="E211" t="inlineStr">
        <is>
          <t>HALLSBERG</t>
        </is>
      </c>
      <c r="G211" t="n">
        <v>2.8</v>
      </c>
      <c r="H211" t="n">
        <v>0</v>
      </c>
      <c r="I211" t="n">
        <v>0</v>
      </c>
      <c r="J211" t="n">
        <v>0</v>
      </c>
      <c r="K211" t="n">
        <v>0</v>
      </c>
      <c r="L211" t="n">
        <v>0</v>
      </c>
      <c r="M211" t="n">
        <v>0</v>
      </c>
      <c r="N211" t="n">
        <v>0</v>
      </c>
      <c r="O211" t="n">
        <v>0</v>
      </c>
      <c r="P211" t="n">
        <v>0</v>
      </c>
      <c r="Q211" t="n">
        <v>0</v>
      </c>
      <c r="R211" s="2" t="inlineStr"/>
    </row>
    <row r="212" ht="15" customHeight="1">
      <c r="A212" t="inlineStr">
        <is>
          <t>A 39450-2021</t>
        </is>
      </c>
      <c r="B212" s="1" t="n">
        <v>44414</v>
      </c>
      <c r="C212" s="1" t="n">
        <v>45736</v>
      </c>
      <c r="D212" t="inlineStr">
        <is>
          <t>ÖREBRO LÄN</t>
        </is>
      </c>
      <c r="E212" t="inlineStr">
        <is>
          <t>HALLSBERG</t>
        </is>
      </c>
      <c r="G212" t="n">
        <v>2.1</v>
      </c>
      <c r="H212" t="n">
        <v>0</v>
      </c>
      <c r="I212" t="n">
        <v>0</v>
      </c>
      <c r="J212" t="n">
        <v>0</v>
      </c>
      <c r="K212" t="n">
        <v>0</v>
      </c>
      <c r="L212" t="n">
        <v>0</v>
      </c>
      <c r="M212" t="n">
        <v>0</v>
      </c>
      <c r="N212" t="n">
        <v>0</v>
      </c>
      <c r="O212" t="n">
        <v>0</v>
      </c>
      <c r="P212" t="n">
        <v>0</v>
      </c>
      <c r="Q212" t="n">
        <v>0</v>
      </c>
      <c r="R212" s="2" t="inlineStr"/>
    </row>
    <row r="213" ht="15" customHeight="1">
      <c r="A213" t="inlineStr">
        <is>
          <t>A 40607-2021</t>
        </is>
      </c>
      <c r="B213" s="1" t="n">
        <v>44420</v>
      </c>
      <c r="C213" s="1" t="n">
        <v>45736</v>
      </c>
      <c r="D213" t="inlineStr">
        <is>
          <t>ÖREBRO LÄN</t>
        </is>
      </c>
      <c r="E213" t="inlineStr">
        <is>
          <t>HALLSBERG</t>
        </is>
      </c>
      <c r="G213" t="n">
        <v>3.7</v>
      </c>
      <c r="H213" t="n">
        <v>0</v>
      </c>
      <c r="I213" t="n">
        <v>0</v>
      </c>
      <c r="J213" t="n">
        <v>0</v>
      </c>
      <c r="K213" t="n">
        <v>0</v>
      </c>
      <c r="L213" t="n">
        <v>0</v>
      </c>
      <c r="M213" t="n">
        <v>0</v>
      </c>
      <c r="N213" t="n">
        <v>0</v>
      </c>
      <c r="O213" t="n">
        <v>0</v>
      </c>
      <c r="P213" t="n">
        <v>0</v>
      </c>
      <c r="Q213" t="n">
        <v>0</v>
      </c>
      <c r="R213" s="2" t="inlineStr"/>
    </row>
    <row r="214" ht="15" customHeight="1">
      <c r="A214" t="inlineStr">
        <is>
          <t>A 40984-2021</t>
        </is>
      </c>
      <c r="B214" s="1" t="n">
        <v>44421</v>
      </c>
      <c r="C214" s="1" t="n">
        <v>45736</v>
      </c>
      <c r="D214" t="inlineStr">
        <is>
          <t>ÖREBRO LÄN</t>
        </is>
      </c>
      <c r="E214" t="inlineStr">
        <is>
          <t>HALLSBERG</t>
        </is>
      </c>
      <c r="G214" t="n">
        <v>11.1</v>
      </c>
      <c r="H214" t="n">
        <v>0</v>
      </c>
      <c r="I214" t="n">
        <v>0</v>
      </c>
      <c r="J214" t="n">
        <v>0</v>
      </c>
      <c r="K214" t="n">
        <v>0</v>
      </c>
      <c r="L214" t="n">
        <v>0</v>
      </c>
      <c r="M214" t="n">
        <v>0</v>
      </c>
      <c r="N214" t="n">
        <v>0</v>
      </c>
      <c r="O214" t="n">
        <v>0</v>
      </c>
      <c r="P214" t="n">
        <v>0</v>
      </c>
      <c r="Q214" t="n">
        <v>0</v>
      </c>
      <c r="R214" s="2" t="inlineStr"/>
    </row>
    <row r="215" ht="15" customHeight="1">
      <c r="A215" t="inlineStr">
        <is>
          <t>A 40987-2021</t>
        </is>
      </c>
      <c r="B215" s="1" t="n">
        <v>44421</v>
      </c>
      <c r="C215" s="1" t="n">
        <v>45736</v>
      </c>
      <c r="D215" t="inlineStr">
        <is>
          <t>ÖREBRO LÄN</t>
        </is>
      </c>
      <c r="E215" t="inlineStr">
        <is>
          <t>HALLSBERG</t>
        </is>
      </c>
      <c r="G215" t="n">
        <v>2.4</v>
      </c>
      <c r="H215" t="n">
        <v>0</v>
      </c>
      <c r="I215" t="n">
        <v>0</v>
      </c>
      <c r="J215" t="n">
        <v>0</v>
      </c>
      <c r="K215" t="n">
        <v>0</v>
      </c>
      <c r="L215" t="n">
        <v>0</v>
      </c>
      <c r="M215" t="n">
        <v>0</v>
      </c>
      <c r="N215" t="n">
        <v>0</v>
      </c>
      <c r="O215" t="n">
        <v>0</v>
      </c>
      <c r="P215" t="n">
        <v>0</v>
      </c>
      <c r="Q215" t="n">
        <v>0</v>
      </c>
      <c r="R215" s="2" t="inlineStr"/>
    </row>
    <row r="216" ht="15" customHeight="1">
      <c r="A216" t="inlineStr">
        <is>
          <t>A 41410-2021</t>
        </is>
      </c>
      <c r="B216" s="1" t="n">
        <v>44424</v>
      </c>
      <c r="C216" s="1" t="n">
        <v>45736</v>
      </c>
      <c r="D216" t="inlineStr">
        <is>
          <t>ÖREBRO LÄN</t>
        </is>
      </c>
      <c r="E216" t="inlineStr">
        <is>
          <t>HALLSBERG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44227-2021</t>
        </is>
      </c>
      <c r="B217" s="1" t="n">
        <v>44435</v>
      </c>
      <c r="C217" s="1" t="n">
        <v>45736</v>
      </c>
      <c r="D217" t="inlineStr">
        <is>
          <t>ÖREBRO LÄN</t>
        </is>
      </c>
      <c r="E217" t="inlineStr">
        <is>
          <t>HALLSBERG</t>
        </is>
      </c>
      <c r="G217" t="n">
        <v>3.8</v>
      </c>
      <c r="H217" t="n">
        <v>0</v>
      </c>
      <c r="I217" t="n">
        <v>0</v>
      </c>
      <c r="J217" t="n">
        <v>0</v>
      </c>
      <c r="K217" t="n">
        <v>0</v>
      </c>
      <c r="L217" t="n">
        <v>0</v>
      </c>
      <c r="M217" t="n">
        <v>0</v>
      </c>
      <c r="N217" t="n">
        <v>0</v>
      </c>
      <c r="O217" t="n">
        <v>0</v>
      </c>
      <c r="P217" t="n">
        <v>0</v>
      </c>
      <c r="Q217" t="n">
        <v>0</v>
      </c>
      <c r="R217" s="2" t="inlineStr"/>
    </row>
    <row r="218" ht="15" customHeight="1">
      <c r="A218" t="inlineStr">
        <is>
          <t>A 44228-2021</t>
        </is>
      </c>
      <c r="B218" s="1" t="n">
        <v>44435</v>
      </c>
      <c r="C218" s="1" t="n">
        <v>45736</v>
      </c>
      <c r="D218" t="inlineStr">
        <is>
          <t>ÖREBRO LÄN</t>
        </is>
      </c>
      <c r="E218" t="inlineStr">
        <is>
          <t>HALLSBERG</t>
        </is>
      </c>
      <c r="G218" t="n">
        <v>0.6</v>
      </c>
      <c r="H218" t="n">
        <v>0</v>
      </c>
      <c r="I218" t="n">
        <v>0</v>
      </c>
      <c r="J218" t="n">
        <v>0</v>
      </c>
      <c r="K218" t="n">
        <v>0</v>
      </c>
      <c r="L218" t="n">
        <v>0</v>
      </c>
      <c r="M218" t="n">
        <v>0</v>
      </c>
      <c r="N218" t="n">
        <v>0</v>
      </c>
      <c r="O218" t="n">
        <v>0</v>
      </c>
      <c r="P218" t="n">
        <v>0</v>
      </c>
      <c r="Q218" t="n">
        <v>0</v>
      </c>
      <c r="R218" s="2" t="inlineStr"/>
    </row>
    <row r="219" ht="15" customHeight="1">
      <c r="A219" t="inlineStr">
        <is>
          <t>A 58462-2021</t>
        </is>
      </c>
      <c r="B219" s="1" t="n">
        <v>44488</v>
      </c>
      <c r="C219" s="1" t="n">
        <v>45736</v>
      </c>
      <c r="D219" t="inlineStr">
        <is>
          <t>ÖREBRO LÄN</t>
        </is>
      </c>
      <c r="E219" t="inlineStr">
        <is>
          <t>HALLSBERG</t>
        </is>
      </c>
      <c r="G219" t="n">
        <v>2.9</v>
      </c>
      <c r="H219" t="n">
        <v>0</v>
      </c>
      <c r="I219" t="n">
        <v>0</v>
      </c>
      <c r="J219" t="n">
        <v>0</v>
      </c>
      <c r="K219" t="n">
        <v>0</v>
      </c>
      <c r="L219" t="n">
        <v>0</v>
      </c>
      <c r="M219" t="n">
        <v>0</v>
      </c>
      <c r="N219" t="n">
        <v>0</v>
      </c>
      <c r="O219" t="n">
        <v>0</v>
      </c>
      <c r="P219" t="n">
        <v>0</v>
      </c>
      <c r="Q219" t="n">
        <v>0</v>
      </c>
      <c r="R219" s="2" t="inlineStr"/>
    </row>
    <row r="220" ht="15" customHeight="1">
      <c r="A220" t="inlineStr">
        <is>
          <t>A 59176-2021</t>
        </is>
      </c>
      <c r="B220" s="1" t="n">
        <v>44490</v>
      </c>
      <c r="C220" s="1" t="n">
        <v>45736</v>
      </c>
      <c r="D220" t="inlineStr">
        <is>
          <t>ÖREBRO LÄN</t>
        </is>
      </c>
      <c r="E220" t="inlineStr">
        <is>
          <t>HALLSBERG</t>
        </is>
      </c>
      <c r="G220" t="n">
        <v>1.6</v>
      </c>
      <c r="H220" t="n">
        <v>0</v>
      </c>
      <c r="I220" t="n">
        <v>0</v>
      </c>
      <c r="J220" t="n">
        <v>0</v>
      </c>
      <c r="K220" t="n">
        <v>0</v>
      </c>
      <c r="L220" t="n">
        <v>0</v>
      </c>
      <c r="M220" t="n">
        <v>0</v>
      </c>
      <c r="N220" t="n">
        <v>0</v>
      </c>
      <c r="O220" t="n">
        <v>0</v>
      </c>
      <c r="P220" t="n">
        <v>0</v>
      </c>
      <c r="Q220" t="n">
        <v>0</v>
      </c>
      <c r="R220" s="2" t="inlineStr"/>
    </row>
    <row r="221" ht="15" customHeight="1">
      <c r="A221" t="inlineStr">
        <is>
          <t>A 60685-2021</t>
        </is>
      </c>
      <c r="B221" s="1" t="n">
        <v>44496</v>
      </c>
      <c r="C221" s="1" t="n">
        <v>45736</v>
      </c>
      <c r="D221" t="inlineStr">
        <is>
          <t>ÖREBRO LÄN</t>
        </is>
      </c>
      <c r="E221" t="inlineStr">
        <is>
          <t>HALLSBERG</t>
        </is>
      </c>
      <c r="G221" t="n">
        <v>3</v>
      </c>
      <c r="H221" t="n">
        <v>0</v>
      </c>
      <c r="I221" t="n">
        <v>0</v>
      </c>
      <c r="J221" t="n">
        <v>0</v>
      </c>
      <c r="K221" t="n">
        <v>0</v>
      </c>
      <c r="L221" t="n">
        <v>0</v>
      </c>
      <c r="M221" t="n">
        <v>0</v>
      </c>
      <c r="N221" t="n">
        <v>0</v>
      </c>
      <c r="O221" t="n">
        <v>0</v>
      </c>
      <c r="P221" t="n">
        <v>0</v>
      </c>
      <c r="Q221" t="n">
        <v>0</v>
      </c>
      <c r="R221" s="2" t="inlineStr"/>
    </row>
    <row r="222" ht="15" customHeight="1">
      <c r="A222" t="inlineStr">
        <is>
          <t>A 69079-2021</t>
        </is>
      </c>
      <c r="B222" s="1" t="n">
        <v>44530</v>
      </c>
      <c r="C222" s="1" t="n">
        <v>45736</v>
      </c>
      <c r="D222" t="inlineStr">
        <is>
          <t>ÖREBRO LÄN</t>
        </is>
      </c>
      <c r="E222" t="inlineStr">
        <is>
          <t>HALLSBERG</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69420-2021</t>
        </is>
      </c>
      <c r="B223" s="1" t="n">
        <v>44531</v>
      </c>
      <c r="C223" s="1" t="n">
        <v>45736</v>
      </c>
      <c r="D223" t="inlineStr">
        <is>
          <t>ÖREBRO LÄN</t>
        </is>
      </c>
      <c r="E223" t="inlineStr">
        <is>
          <t>HALLSBERG</t>
        </is>
      </c>
      <c r="G223" t="n">
        <v>1.7</v>
      </c>
      <c r="H223" t="n">
        <v>0</v>
      </c>
      <c r="I223" t="n">
        <v>0</v>
      </c>
      <c r="J223" t="n">
        <v>0</v>
      </c>
      <c r="K223" t="n">
        <v>0</v>
      </c>
      <c r="L223" t="n">
        <v>0</v>
      </c>
      <c r="M223" t="n">
        <v>0</v>
      </c>
      <c r="N223" t="n">
        <v>0</v>
      </c>
      <c r="O223" t="n">
        <v>0</v>
      </c>
      <c r="P223" t="n">
        <v>0</v>
      </c>
      <c r="Q223" t="n">
        <v>0</v>
      </c>
      <c r="R223" s="2" t="inlineStr"/>
    </row>
    <row r="224" ht="15" customHeight="1">
      <c r="A224" t="inlineStr">
        <is>
          <t>A 69607-2021</t>
        </is>
      </c>
      <c r="B224" s="1" t="n">
        <v>44532</v>
      </c>
      <c r="C224" s="1" t="n">
        <v>45736</v>
      </c>
      <c r="D224" t="inlineStr">
        <is>
          <t>ÖREBRO LÄN</t>
        </is>
      </c>
      <c r="E224" t="inlineStr">
        <is>
          <t>HALLSBERG</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70160-2021</t>
        </is>
      </c>
      <c r="B225" s="1" t="n">
        <v>44533</v>
      </c>
      <c r="C225" s="1" t="n">
        <v>45736</v>
      </c>
      <c r="D225" t="inlineStr">
        <is>
          <t>ÖREBRO LÄN</t>
        </is>
      </c>
      <c r="E225" t="inlineStr">
        <is>
          <t>HALLSBERG</t>
        </is>
      </c>
      <c r="F225" t="inlineStr">
        <is>
          <t>Allmännings- och besparingsskogar</t>
        </is>
      </c>
      <c r="G225" t="n">
        <v>14.7</v>
      </c>
      <c r="H225" t="n">
        <v>0</v>
      </c>
      <c r="I225" t="n">
        <v>0</v>
      </c>
      <c r="J225" t="n">
        <v>0</v>
      </c>
      <c r="K225" t="n">
        <v>0</v>
      </c>
      <c r="L225" t="n">
        <v>0</v>
      </c>
      <c r="M225" t="n">
        <v>0</v>
      </c>
      <c r="N225" t="n">
        <v>0</v>
      </c>
      <c r="O225" t="n">
        <v>0</v>
      </c>
      <c r="P225" t="n">
        <v>0</v>
      </c>
      <c r="Q225" t="n">
        <v>0</v>
      </c>
      <c r="R225" s="2" t="inlineStr"/>
    </row>
    <row r="226" ht="15" customHeight="1">
      <c r="A226" t="inlineStr">
        <is>
          <t>A 70153-2021</t>
        </is>
      </c>
      <c r="B226" s="1" t="n">
        <v>44533</v>
      </c>
      <c r="C226" s="1" t="n">
        <v>45736</v>
      </c>
      <c r="D226" t="inlineStr">
        <is>
          <t>ÖREBRO LÄN</t>
        </is>
      </c>
      <c r="E226" t="inlineStr">
        <is>
          <t>HALLSBERG</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71481-2021</t>
        </is>
      </c>
      <c r="B227" s="1" t="n">
        <v>44540</v>
      </c>
      <c r="C227" s="1" t="n">
        <v>45736</v>
      </c>
      <c r="D227" t="inlineStr">
        <is>
          <t>ÖREBRO LÄN</t>
        </is>
      </c>
      <c r="E227" t="inlineStr">
        <is>
          <t>HALLSBERG</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73941-2021</t>
        </is>
      </c>
      <c r="B228" s="1" t="n">
        <v>44553</v>
      </c>
      <c r="C228" s="1" t="n">
        <v>45736</v>
      </c>
      <c r="D228" t="inlineStr">
        <is>
          <t>ÖREBRO LÄN</t>
        </is>
      </c>
      <c r="E228" t="inlineStr">
        <is>
          <t>HALLSBERG</t>
        </is>
      </c>
      <c r="F228" t="inlineStr">
        <is>
          <t>Allmännings- och besparingsskogar</t>
        </is>
      </c>
      <c r="G228" t="n">
        <v>5.5</v>
      </c>
      <c r="H228" t="n">
        <v>0</v>
      </c>
      <c r="I228" t="n">
        <v>0</v>
      </c>
      <c r="J228" t="n">
        <v>0</v>
      </c>
      <c r="K228" t="n">
        <v>0</v>
      </c>
      <c r="L228" t="n">
        <v>0</v>
      </c>
      <c r="M228" t="n">
        <v>0</v>
      </c>
      <c r="N228" t="n">
        <v>0</v>
      </c>
      <c r="O228" t="n">
        <v>0</v>
      </c>
      <c r="P228" t="n">
        <v>0</v>
      </c>
      <c r="Q228" t="n">
        <v>0</v>
      </c>
      <c r="R228" s="2" t="inlineStr"/>
    </row>
    <row r="229" ht="15" customHeight="1">
      <c r="A229" t="inlineStr">
        <is>
          <t>A 73947-2021</t>
        </is>
      </c>
      <c r="B229" s="1" t="n">
        <v>44553</v>
      </c>
      <c r="C229" s="1" t="n">
        <v>45736</v>
      </c>
      <c r="D229" t="inlineStr">
        <is>
          <t>ÖREBRO LÄN</t>
        </is>
      </c>
      <c r="E229" t="inlineStr">
        <is>
          <t>HALLSBERG</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765-2022</t>
        </is>
      </c>
      <c r="B230" s="1" t="n">
        <v>44570</v>
      </c>
      <c r="C230" s="1" t="n">
        <v>45736</v>
      </c>
      <c r="D230" t="inlineStr">
        <is>
          <t>ÖREBRO LÄN</t>
        </is>
      </c>
      <c r="E230" t="inlineStr">
        <is>
          <t>HALLSBERG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3366-2022</t>
        </is>
      </c>
      <c r="B231" s="1" t="n">
        <v>44585</v>
      </c>
      <c r="C231" s="1" t="n">
        <v>45736</v>
      </c>
      <c r="D231" t="inlineStr">
        <is>
          <t>ÖREBRO LÄN</t>
        </is>
      </c>
      <c r="E231" t="inlineStr">
        <is>
          <t>HALLSBERG</t>
        </is>
      </c>
      <c r="G231" t="n">
        <v>3</v>
      </c>
      <c r="H231" t="n">
        <v>0</v>
      </c>
      <c r="I231" t="n">
        <v>0</v>
      </c>
      <c r="J231" t="n">
        <v>0</v>
      </c>
      <c r="K231" t="n">
        <v>0</v>
      </c>
      <c r="L231" t="n">
        <v>0</v>
      </c>
      <c r="M231" t="n">
        <v>0</v>
      </c>
      <c r="N231" t="n">
        <v>0</v>
      </c>
      <c r="O231" t="n">
        <v>0</v>
      </c>
      <c r="P231" t="n">
        <v>0</v>
      </c>
      <c r="Q231" t="n">
        <v>0</v>
      </c>
      <c r="R231" s="2" t="inlineStr"/>
    </row>
    <row r="232" ht="15" customHeight="1">
      <c r="A232" t="inlineStr">
        <is>
          <t>A 3675-2022</t>
        </is>
      </c>
      <c r="B232" s="1" t="n">
        <v>44586</v>
      </c>
      <c r="C232" s="1" t="n">
        <v>45736</v>
      </c>
      <c r="D232" t="inlineStr">
        <is>
          <t>ÖREBRO LÄN</t>
        </is>
      </c>
      <c r="E232" t="inlineStr">
        <is>
          <t>HALLSBERG</t>
        </is>
      </c>
      <c r="G232" t="n">
        <v>1</v>
      </c>
      <c r="H232" t="n">
        <v>0</v>
      </c>
      <c r="I232" t="n">
        <v>0</v>
      </c>
      <c r="J232" t="n">
        <v>0</v>
      </c>
      <c r="K232" t="n">
        <v>0</v>
      </c>
      <c r="L232" t="n">
        <v>0</v>
      </c>
      <c r="M232" t="n">
        <v>0</v>
      </c>
      <c r="N232" t="n">
        <v>0</v>
      </c>
      <c r="O232" t="n">
        <v>0</v>
      </c>
      <c r="P232" t="n">
        <v>0</v>
      </c>
      <c r="Q232" t="n">
        <v>0</v>
      </c>
      <c r="R232" s="2" t="inlineStr"/>
    </row>
    <row r="233" ht="15" customHeight="1">
      <c r="A233" t="inlineStr">
        <is>
          <t>A 8252-2022</t>
        </is>
      </c>
      <c r="B233" s="1" t="n">
        <v>44610</v>
      </c>
      <c r="C233" s="1" t="n">
        <v>45736</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8606-2022</t>
        </is>
      </c>
      <c r="B234" s="1" t="n">
        <v>44610</v>
      </c>
      <c r="C234" s="1" t="n">
        <v>45736</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8869-2022</t>
        </is>
      </c>
      <c r="B235" s="1" t="n">
        <v>44614</v>
      </c>
      <c r="C235" s="1" t="n">
        <v>45736</v>
      </c>
      <c r="D235" t="inlineStr">
        <is>
          <t>ÖREBRO LÄN</t>
        </is>
      </c>
      <c r="E235" t="inlineStr">
        <is>
          <t>HALLSBERG</t>
        </is>
      </c>
      <c r="G235" t="n">
        <v>1.6</v>
      </c>
      <c r="H235" t="n">
        <v>0</v>
      </c>
      <c r="I235" t="n">
        <v>0</v>
      </c>
      <c r="J235" t="n">
        <v>0</v>
      </c>
      <c r="K235" t="n">
        <v>0</v>
      </c>
      <c r="L235" t="n">
        <v>0</v>
      </c>
      <c r="M235" t="n">
        <v>0</v>
      </c>
      <c r="N235" t="n">
        <v>0</v>
      </c>
      <c r="O235" t="n">
        <v>0</v>
      </c>
      <c r="P235" t="n">
        <v>0</v>
      </c>
      <c r="Q235" t="n">
        <v>0</v>
      </c>
      <c r="R235" s="2" t="inlineStr"/>
    </row>
    <row r="236" ht="15" customHeight="1">
      <c r="A236" t="inlineStr">
        <is>
          <t>A 9126-2022</t>
        </is>
      </c>
      <c r="B236" s="1" t="n">
        <v>44615</v>
      </c>
      <c r="C236" s="1" t="n">
        <v>45736</v>
      </c>
      <c r="D236" t="inlineStr">
        <is>
          <t>ÖREBRO LÄN</t>
        </is>
      </c>
      <c r="E236" t="inlineStr">
        <is>
          <t>HALLSBERG</t>
        </is>
      </c>
      <c r="G236" t="n">
        <v>3.5</v>
      </c>
      <c r="H236" t="n">
        <v>0</v>
      </c>
      <c r="I236" t="n">
        <v>0</v>
      </c>
      <c r="J236" t="n">
        <v>0</v>
      </c>
      <c r="K236" t="n">
        <v>0</v>
      </c>
      <c r="L236" t="n">
        <v>0</v>
      </c>
      <c r="M236" t="n">
        <v>0</v>
      </c>
      <c r="N236" t="n">
        <v>0</v>
      </c>
      <c r="O236" t="n">
        <v>0</v>
      </c>
      <c r="P236" t="n">
        <v>0</v>
      </c>
      <c r="Q236" t="n">
        <v>0</v>
      </c>
      <c r="R236" s="2" t="inlineStr"/>
    </row>
    <row r="237" ht="15" customHeight="1">
      <c r="A237" t="inlineStr">
        <is>
          <t>A 9412-2022</t>
        </is>
      </c>
      <c r="B237" s="1" t="n">
        <v>44616</v>
      </c>
      <c r="C237" s="1" t="n">
        <v>45736</v>
      </c>
      <c r="D237" t="inlineStr">
        <is>
          <t>ÖREBRO LÄN</t>
        </is>
      </c>
      <c r="E237" t="inlineStr">
        <is>
          <t>HALLSBERG</t>
        </is>
      </c>
      <c r="F237" t="inlineStr">
        <is>
          <t>Allmännings- och besparingsskogar</t>
        </is>
      </c>
      <c r="G237" t="n">
        <v>28.8</v>
      </c>
      <c r="H237" t="n">
        <v>0</v>
      </c>
      <c r="I237" t="n">
        <v>0</v>
      </c>
      <c r="J237" t="n">
        <v>0</v>
      </c>
      <c r="K237" t="n">
        <v>0</v>
      </c>
      <c r="L237" t="n">
        <v>0</v>
      </c>
      <c r="M237" t="n">
        <v>0</v>
      </c>
      <c r="N237" t="n">
        <v>0</v>
      </c>
      <c r="O237" t="n">
        <v>0</v>
      </c>
      <c r="P237" t="n">
        <v>0</v>
      </c>
      <c r="Q237" t="n">
        <v>0</v>
      </c>
      <c r="R237" s="2" t="inlineStr"/>
    </row>
    <row r="238" ht="15" customHeight="1">
      <c r="A238" t="inlineStr">
        <is>
          <t>A 9426-2022</t>
        </is>
      </c>
      <c r="B238" s="1" t="n">
        <v>44616</v>
      </c>
      <c r="C238" s="1" t="n">
        <v>45736</v>
      </c>
      <c r="D238" t="inlineStr">
        <is>
          <t>ÖREBRO LÄN</t>
        </is>
      </c>
      <c r="E238" t="inlineStr">
        <is>
          <t>HALLSBERG</t>
        </is>
      </c>
      <c r="G238" t="n">
        <v>2.1</v>
      </c>
      <c r="H238" t="n">
        <v>0</v>
      </c>
      <c r="I238" t="n">
        <v>0</v>
      </c>
      <c r="J238" t="n">
        <v>0</v>
      </c>
      <c r="K238" t="n">
        <v>0</v>
      </c>
      <c r="L238" t="n">
        <v>0</v>
      </c>
      <c r="M238" t="n">
        <v>0</v>
      </c>
      <c r="N238" t="n">
        <v>0</v>
      </c>
      <c r="O238" t="n">
        <v>0</v>
      </c>
      <c r="P238" t="n">
        <v>0</v>
      </c>
      <c r="Q238" t="n">
        <v>0</v>
      </c>
      <c r="R238" s="2" t="inlineStr"/>
    </row>
    <row r="239" ht="15" customHeight="1">
      <c r="A239" t="inlineStr">
        <is>
          <t>A 9414-2022</t>
        </is>
      </c>
      <c r="B239" s="1" t="n">
        <v>44616</v>
      </c>
      <c r="C239" s="1" t="n">
        <v>45736</v>
      </c>
      <c r="D239" t="inlineStr">
        <is>
          <t>ÖREBRO LÄN</t>
        </is>
      </c>
      <c r="E239" t="inlineStr">
        <is>
          <t>HALLSBERG</t>
        </is>
      </c>
      <c r="F239" t="inlineStr">
        <is>
          <t>Allmännings- och besparingsskogar</t>
        </is>
      </c>
      <c r="G239" t="n">
        <v>8.9</v>
      </c>
      <c r="H239" t="n">
        <v>0</v>
      </c>
      <c r="I239" t="n">
        <v>0</v>
      </c>
      <c r="J239" t="n">
        <v>0</v>
      </c>
      <c r="K239" t="n">
        <v>0</v>
      </c>
      <c r="L239" t="n">
        <v>0</v>
      </c>
      <c r="M239" t="n">
        <v>0</v>
      </c>
      <c r="N239" t="n">
        <v>0</v>
      </c>
      <c r="O239" t="n">
        <v>0</v>
      </c>
      <c r="P239" t="n">
        <v>0</v>
      </c>
      <c r="Q239" t="n">
        <v>0</v>
      </c>
      <c r="R239" s="2" t="inlineStr"/>
    </row>
    <row r="240" ht="15" customHeight="1">
      <c r="A240" t="inlineStr">
        <is>
          <t>A 10863-2022</t>
        </is>
      </c>
      <c r="B240" s="1" t="n">
        <v>44627</v>
      </c>
      <c r="C240" s="1" t="n">
        <v>45736</v>
      </c>
      <c r="D240" t="inlineStr">
        <is>
          <t>ÖREBRO LÄN</t>
        </is>
      </c>
      <c r="E240" t="inlineStr">
        <is>
          <t>HALLSBERG</t>
        </is>
      </c>
      <c r="G240" t="n">
        <v>6.9</v>
      </c>
      <c r="H240" t="n">
        <v>0</v>
      </c>
      <c r="I240" t="n">
        <v>0</v>
      </c>
      <c r="J240" t="n">
        <v>0</v>
      </c>
      <c r="K240" t="n">
        <v>0</v>
      </c>
      <c r="L240" t="n">
        <v>0</v>
      </c>
      <c r="M240" t="n">
        <v>0</v>
      </c>
      <c r="N240" t="n">
        <v>0</v>
      </c>
      <c r="O240" t="n">
        <v>0</v>
      </c>
      <c r="P240" t="n">
        <v>0</v>
      </c>
      <c r="Q240" t="n">
        <v>0</v>
      </c>
      <c r="R240" s="2" t="inlineStr"/>
    </row>
    <row r="241" ht="15" customHeight="1">
      <c r="A241" t="inlineStr">
        <is>
          <t>A 12053-2022</t>
        </is>
      </c>
      <c r="B241" s="1" t="n">
        <v>44636</v>
      </c>
      <c r="C241" s="1" t="n">
        <v>45736</v>
      </c>
      <c r="D241" t="inlineStr">
        <is>
          <t>ÖREBRO LÄN</t>
        </is>
      </c>
      <c r="E241" t="inlineStr">
        <is>
          <t>HALLSBERG</t>
        </is>
      </c>
      <c r="G241" t="n">
        <v>3.1</v>
      </c>
      <c r="H241" t="n">
        <v>0</v>
      </c>
      <c r="I241" t="n">
        <v>0</v>
      </c>
      <c r="J241" t="n">
        <v>0</v>
      </c>
      <c r="K241" t="n">
        <v>0</v>
      </c>
      <c r="L241" t="n">
        <v>0</v>
      </c>
      <c r="M241" t="n">
        <v>0</v>
      </c>
      <c r="N241" t="n">
        <v>0</v>
      </c>
      <c r="O241" t="n">
        <v>0</v>
      </c>
      <c r="P241" t="n">
        <v>0</v>
      </c>
      <c r="Q241" t="n">
        <v>0</v>
      </c>
      <c r="R241" s="2" t="inlineStr"/>
    </row>
    <row r="242" ht="15" customHeight="1">
      <c r="A242" t="inlineStr">
        <is>
          <t>A 12471-2022</t>
        </is>
      </c>
      <c r="B242" s="1" t="n">
        <v>44638</v>
      </c>
      <c r="C242" s="1" t="n">
        <v>45736</v>
      </c>
      <c r="D242" t="inlineStr">
        <is>
          <t>ÖREBRO LÄN</t>
        </is>
      </c>
      <c r="E242" t="inlineStr">
        <is>
          <t>HALLSBERG</t>
        </is>
      </c>
      <c r="G242" t="n">
        <v>2.2</v>
      </c>
      <c r="H242" t="n">
        <v>0</v>
      </c>
      <c r="I242" t="n">
        <v>0</v>
      </c>
      <c r="J242" t="n">
        <v>0</v>
      </c>
      <c r="K242" t="n">
        <v>0</v>
      </c>
      <c r="L242" t="n">
        <v>0</v>
      </c>
      <c r="M242" t="n">
        <v>0</v>
      </c>
      <c r="N242" t="n">
        <v>0</v>
      </c>
      <c r="O242" t="n">
        <v>0</v>
      </c>
      <c r="P242" t="n">
        <v>0</v>
      </c>
      <c r="Q242" t="n">
        <v>0</v>
      </c>
      <c r="R242" s="2" t="inlineStr"/>
    </row>
    <row r="243" ht="15" customHeight="1">
      <c r="A243" t="inlineStr">
        <is>
          <t>A 12520-2022</t>
        </is>
      </c>
      <c r="B243" s="1" t="n">
        <v>44638</v>
      </c>
      <c r="C243" s="1" t="n">
        <v>45736</v>
      </c>
      <c r="D243" t="inlineStr">
        <is>
          <t>ÖREBRO LÄN</t>
        </is>
      </c>
      <c r="E243" t="inlineStr">
        <is>
          <t>HALLSBERG</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13120-2022</t>
        </is>
      </c>
      <c r="B244" s="1" t="n">
        <v>44643</v>
      </c>
      <c r="C244" s="1" t="n">
        <v>45736</v>
      </c>
      <c r="D244" t="inlineStr">
        <is>
          <t>ÖREBRO LÄN</t>
        </is>
      </c>
      <c r="E244" t="inlineStr">
        <is>
          <t>HALLSBERG</t>
        </is>
      </c>
      <c r="G244" t="n">
        <v>1.8</v>
      </c>
      <c r="H244" t="n">
        <v>0</v>
      </c>
      <c r="I244" t="n">
        <v>0</v>
      </c>
      <c r="J244" t="n">
        <v>0</v>
      </c>
      <c r="K244" t="n">
        <v>0</v>
      </c>
      <c r="L244" t="n">
        <v>0</v>
      </c>
      <c r="M244" t="n">
        <v>0</v>
      </c>
      <c r="N244" t="n">
        <v>0</v>
      </c>
      <c r="O244" t="n">
        <v>0</v>
      </c>
      <c r="P244" t="n">
        <v>0</v>
      </c>
      <c r="Q244" t="n">
        <v>0</v>
      </c>
      <c r="R244" s="2" t="inlineStr"/>
    </row>
    <row r="245" ht="15" customHeight="1">
      <c r="A245" t="inlineStr">
        <is>
          <t>A 13660-2022</t>
        </is>
      </c>
      <c r="B245" s="1" t="n">
        <v>44648</v>
      </c>
      <c r="C245" s="1" t="n">
        <v>45736</v>
      </c>
      <c r="D245" t="inlineStr">
        <is>
          <t>ÖREBRO LÄN</t>
        </is>
      </c>
      <c r="E245" t="inlineStr">
        <is>
          <t>HALLSBERG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14348-2022</t>
        </is>
      </c>
      <c r="B246" s="1" t="n">
        <v>44651</v>
      </c>
      <c r="C246" s="1" t="n">
        <v>45736</v>
      </c>
      <c r="D246" t="inlineStr">
        <is>
          <t>ÖREBRO LÄN</t>
        </is>
      </c>
      <c r="E246" t="inlineStr">
        <is>
          <t>HALLSBERG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14333-2022</t>
        </is>
      </c>
      <c r="B247" s="1" t="n">
        <v>44651</v>
      </c>
      <c r="C247" s="1" t="n">
        <v>45736</v>
      </c>
      <c r="D247" t="inlineStr">
        <is>
          <t>ÖREBRO LÄN</t>
        </is>
      </c>
      <c r="E247" t="inlineStr">
        <is>
          <t>HALLSBERG</t>
        </is>
      </c>
      <c r="G247" t="n">
        <v>3.9</v>
      </c>
      <c r="H247" t="n">
        <v>0</v>
      </c>
      <c r="I247" t="n">
        <v>0</v>
      </c>
      <c r="J247" t="n">
        <v>0</v>
      </c>
      <c r="K247" t="n">
        <v>0</v>
      </c>
      <c r="L247" t="n">
        <v>0</v>
      </c>
      <c r="M247" t="n">
        <v>0</v>
      </c>
      <c r="N247" t="n">
        <v>0</v>
      </c>
      <c r="O247" t="n">
        <v>0</v>
      </c>
      <c r="P247" t="n">
        <v>0</v>
      </c>
      <c r="Q247" t="n">
        <v>0</v>
      </c>
      <c r="R247" s="2" t="inlineStr"/>
    </row>
    <row r="248" ht="15" customHeight="1">
      <c r="A248" t="inlineStr">
        <is>
          <t>A 14335-2022</t>
        </is>
      </c>
      <c r="B248" s="1" t="n">
        <v>44651</v>
      </c>
      <c r="C248" s="1" t="n">
        <v>45736</v>
      </c>
      <c r="D248" t="inlineStr">
        <is>
          <t>ÖREBRO LÄN</t>
        </is>
      </c>
      <c r="E248" t="inlineStr">
        <is>
          <t>HALLSBERG</t>
        </is>
      </c>
      <c r="G248" t="n">
        <v>4.7</v>
      </c>
      <c r="H248" t="n">
        <v>0</v>
      </c>
      <c r="I248" t="n">
        <v>0</v>
      </c>
      <c r="J248" t="n">
        <v>0</v>
      </c>
      <c r="K248" t="n">
        <v>0</v>
      </c>
      <c r="L248" t="n">
        <v>0</v>
      </c>
      <c r="M248" t="n">
        <v>0</v>
      </c>
      <c r="N248" t="n">
        <v>0</v>
      </c>
      <c r="O248" t="n">
        <v>0</v>
      </c>
      <c r="P248" t="n">
        <v>0</v>
      </c>
      <c r="Q248" t="n">
        <v>0</v>
      </c>
      <c r="R248" s="2" t="inlineStr"/>
    </row>
    <row r="249" ht="15" customHeight="1">
      <c r="A249" t="inlineStr">
        <is>
          <t>A 14345-2022</t>
        </is>
      </c>
      <c r="B249" s="1" t="n">
        <v>44651</v>
      </c>
      <c r="C249" s="1" t="n">
        <v>45736</v>
      </c>
      <c r="D249" t="inlineStr">
        <is>
          <t>ÖREBRO LÄN</t>
        </is>
      </c>
      <c r="E249" t="inlineStr">
        <is>
          <t>HALLSBERG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14928-2022</t>
        </is>
      </c>
      <c r="B250" s="1" t="n">
        <v>44657</v>
      </c>
      <c r="C250" s="1" t="n">
        <v>45736</v>
      </c>
      <c r="D250" t="inlineStr">
        <is>
          <t>ÖREBRO LÄN</t>
        </is>
      </c>
      <c r="E250" t="inlineStr">
        <is>
          <t>HALLSBERG</t>
        </is>
      </c>
      <c r="G250" t="n">
        <v>3.5</v>
      </c>
      <c r="H250" t="n">
        <v>0</v>
      </c>
      <c r="I250" t="n">
        <v>0</v>
      </c>
      <c r="J250" t="n">
        <v>0</v>
      </c>
      <c r="K250" t="n">
        <v>0</v>
      </c>
      <c r="L250" t="n">
        <v>0</v>
      </c>
      <c r="M250" t="n">
        <v>0</v>
      </c>
      <c r="N250" t="n">
        <v>0</v>
      </c>
      <c r="O250" t="n">
        <v>0</v>
      </c>
      <c r="P250" t="n">
        <v>0</v>
      </c>
      <c r="Q250" t="n">
        <v>0</v>
      </c>
      <c r="R250" s="2" t="inlineStr"/>
    </row>
    <row r="251" ht="15" customHeight="1">
      <c r="A251" t="inlineStr">
        <is>
          <t>A 15086-2022</t>
        </is>
      </c>
      <c r="B251" s="1" t="n">
        <v>44657</v>
      </c>
      <c r="C251" s="1" t="n">
        <v>45736</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16092-2022</t>
        </is>
      </c>
      <c r="B252" s="1" t="n">
        <v>44665</v>
      </c>
      <c r="C252" s="1" t="n">
        <v>45736</v>
      </c>
      <c r="D252" t="inlineStr">
        <is>
          <t>ÖREBRO LÄN</t>
        </is>
      </c>
      <c r="E252" t="inlineStr">
        <is>
          <t>HALLSBERG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16085-2022</t>
        </is>
      </c>
      <c r="B253" s="1" t="n">
        <v>44665</v>
      </c>
      <c r="C253" s="1" t="n">
        <v>45736</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17003-2022</t>
        </is>
      </c>
      <c r="B254" s="1" t="n">
        <v>44676</v>
      </c>
      <c r="C254" s="1" t="n">
        <v>45736</v>
      </c>
      <c r="D254" t="inlineStr">
        <is>
          <t>ÖREBRO LÄN</t>
        </is>
      </c>
      <c r="E254" t="inlineStr">
        <is>
          <t>HALLSBERG</t>
        </is>
      </c>
      <c r="G254" t="n">
        <v>2.5</v>
      </c>
      <c r="H254" t="n">
        <v>0</v>
      </c>
      <c r="I254" t="n">
        <v>0</v>
      </c>
      <c r="J254" t="n">
        <v>0</v>
      </c>
      <c r="K254" t="n">
        <v>0</v>
      </c>
      <c r="L254" t="n">
        <v>0</v>
      </c>
      <c r="M254" t="n">
        <v>0</v>
      </c>
      <c r="N254" t="n">
        <v>0</v>
      </c>
      <c r="O254" t="n">
        <v>0</v>
      </c>
      <c r="P254" t="n">
        <v>0</v>
      </c>
      <c r="Q254" t="n">
        <v>0</v>
      </c>
      <c r="R254" s="2" t="inlineStr"/>
    </row>
    <row r="255" ht="15" customHeight="1">
      <c r="A255" t="inlineStr">
        <is>
          <t>A 17544-2022</t>
        </is>
      </c>
      <c r="B255" s="1" t="n">
        <v>44679</v>
      </c>
      <c r="C255" s="1" t="n">
        <v>45736</v>
      </c>
      <c r="D255" t="inlineStr">
        <is>
          <t>ÖREBRO LÄN</t>
        </is>
      </c>
      <c r="E255" t="inlineStr">
        <is>
          <t>HALLSBERG</t>
        </is>
      </c>
      <c r="G255" t="n">
        <v>1</v>
      </c>
      <c r="H255" t="n">
        <v>0</v>
      </c>
      <c r="I255" t="n">
        <v>0</v>
      </c>
      <c r="J255" t="n">
        <v>0</v>
      </c>
      <c r="K255" t="n">
        <v>0</v>
      </c>
      <c r="L255" t="n">
        <v>0</v>
      </c>
      <c r="M255" t="n">
        <v>0</v>
      </c>
      <c r="N255" t="n">
        <v>0</v>
      </c>
      <c r="O255" t="n">
        <v>0</v>
      </c>
      <c r="P255" t="n">
        <v>0</v>
      </c>
      <c r="Q255" t="n">
        <v>0</v>
      </c>
      <c r="R255" s="2" t="inlineStr"/>
    </row>
    <row r="256" ht="15" customHeight="1">
      <c r="A256" t="inlineStr">
        <is>
          <t>A 17572-2022</t>
        </is>
      </c>
      <c r="B256" s="1" t="n">
        <v>44679</v>
      </c>
      <c r="C256" s="1" t="n">
        <v>45736</v>
      </c>
      <c r="D256" t="inlineStr">
        <is>
          <t>ÖREBRO LÄN</t>
        </is>
      </c>
      <c r="E256" t="inlineStr">
        <is>
          <t>HALLSBERG</t>
        </is>
      </c>
      <c r="G256" t="n">
        <v>4.9</v>
      </c>
      <c r="H256" t="n">
        <v>0</v>
      </c>
      <c r="I256" t="n">
        <v>0</v>
      </c>
      <c r="J256" t="n">
        <v>0</v>
      </c>
      <c r="K256" t="n">
        <v>0</v>
      </c>
      <c r="L256" t="n">
        <v>0</v>
      </c>
      <c r="M256" t="n">
        <v>0</v>
      </c>
      <c r="N256" t="n">
        <v>0</v>
      </c>
      <c r="O256" t="n">
        <v>0</v>
      </c>
      <c r="P256" t="n">
        <v>0</v>
      </c>
      <c r="Q256" t="n">
        <v>0</v>
      </c>
      <c r="R256" s="2" t="inlineStr"/>
    </row>
    <row r="257" ht="15" customHeight="1">
      <c r="A257" t="inlineStr">
        <is>
          <t>A 18512-2022</t>
        </is>
      </c>
      <c r="B257" s="1" t="n">
        <v>44686</v>
      </c>
      <c r="C257" s="1" t="n">
        <v>45736</v>
      </c>
      <c r="D257" t="inlineStr">
        <is>
          <t>ÖREBRO LÄN</t>
        </is>
      </c>
      <c r="E257" t="inlineStr">
        <is>
          <t>HALLSBERG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19849-2022</t>
        </is>
      </c>
      <c r="B258" s="1" t="n">
        <v>44696</v>
      </c>
      <c r="C258" s="1" t="n">
        <v>45736</v>
      </c>
      <c r="D258" t="inlineStr">
        <is>
          <t>ÖREBRO LÄN</t>
        </is>
      </c>
      <c r="E258" t="inlineStr">
        <is>
          <t>HALLSBERG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19853-2022</t>
        </is>
      </c>
      <c r="B259" s="1" t="n">
        <v>44697</v>
      </c>
      <c r="C259" s="1" t="n">
        <v>45736</v>
      </c>
      <c r="D259" t="inlineStr">
        <is>
          <t>ÖREBRO LÄN</t>
        </is>
      </c>
      <c r="E259" t="inlineStr">
        <is>
          <t>HALLSBERG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19855-2022</t>
        </is>
      </c>
      <c r="B260" s="1" t="n">
        <v>44697</v>
      </c>
      <c r="C260" s="1" t="n">
        <v>45736</v>
      </c>
      <c r="D260" t="inlineStr">
        <is>
          <t>ÖREBRO LÄN</t>
        </is>
      </c>
      <c r="E260" t="inlineStr">
        <is>
          <t>HALLSBERG</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21343-2022</t>
        </is>
      </c>
      <c r="B261" s="1" t="n">
        <v>44705</v>
      </c>
      <c r="C261" s="1" t="n">
        <v>45736</v>
      </c>
      <c r="D261" t="inlineStr">
        <is>
          <t>ÖREBRO LÄN</t>
        </is>
      </c>
      <c r="E261" t="inlineStr">
        <is>
          <t>HALLSBERG</t>
        </is>
      </c>
      <c r="G261" t="n">
        <v>3.4</v>
      </c>
      <c r="H261" t="n">
        <v>0</v>
      </c>
      <c r="I261" t="n">
        <v>0</v>
      </c>
      <c r="J261" t="n">
        <v>0</v>
      </c>
      <c r="K261" t="n">
        <v>0</v>
      </c>
      <c r="L261" t="n">
        <v>0</v>
      </c>
      <c r="M261" t="n">
        <v>0</v>
      </c>
      <c r="N261" t="n">
        <v>0</v>
      </c>
      <c r="O261" t="n">
        <v>0</v>
      </c>
      <c r="P261" t="n">
        <v>0</v>
      </c>
      <c r="Q261" t="n">
        <v>0</v>
      </c>
      <c r="R261" s="2" t="inlineStr"/>
    </row>
    <row r="262" ht="15" customHeight="1">
      <c r="A262" t="inlineStr">
        <is>
          <t>A 23330-2022</t>
        </is>
      </c>
      <c r="B262" s="1" t="n">
        <v>44720</v>
      </c>
      <c r="C262" s="1" t="n">
        <v>45736</v>
      </c>
      <c r="D262" t="inlineStr">
        <is>
          <t>ÖREBRO LÄN</t>
        </is>
      </c>
      <c r="E262" t="inlineStr">
        <is>
          <t>HALLSBERG</t>
        </is>
      </c>
      <c r="G262" t="n">
        <v>2.8</v>
      </c>
      <c r="H262" t="n">
        <v>0</v>
      </c>
      <c r="I262" t="n">
        <v>0</v>
      </c>
      <c r="J262" t="n">
        <v>0</v>
      </c>
      <c r="K262" t="n">
        <v>0</v>
      </c>
      <c r="L262" t="n">
        <v>0</v>
      </c>
      <c r="M262" t="n">
        <v>0</v>
      </c>
      <c r="N262" t="n">
        <v>0</v>
      </c>
      <c r="O262" t="n">
        <v>0</v>
      </c>
      <c r="P262" t="n">
        <v>0</v>
      </c>
      <c r="Q262" t="n">
        <v>0</v>
      </c>
      <c r="R262" s="2" t="inlineStr"/>
    </row>
    <row r="263" ht="15" customHeight="1">
      <c r="A263" t="inlineStr">
        <is>
          <t>A 25480-2022</t>
        </is>
      </c>
      <c r="B263" s="1" t="n">
        <v>44732</v>
      </c>
      <c r="C263" s="1" t="n">
        <v>45736</v>
      </c>
      <c r="D263" t="inlineStr">
        <is>
          <t>ÖREBRO LÄN</t>
        </is>
      </c>
      <c r="E263" t="inlineStr">
        <is>
          <t>HALLSBERG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25459-2022</t>
        </is>
      </c>
      <c r="B264" s="1" t="n">
        <v>44732</v>
      </c>
      <c r="C264" s="1" t="n">
        <v>45736</v>
      </c>
      <c r="D264" t="inlineStr">
        <is>
          <t>ÖREBRO LÄN</t>
        </is>
      </c>
      <c r="E264" t="inlineStr">
        <is>
          <t>HALLSBERG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25491-2022</t>
        </is>
      </c>
      <c r="B265" s="1" t="n">
        <v>44732</v>
      </c>
      <c r="C265" s="1" t="n">
        <v>45736</v>
      </c>
      <c r="D265" t="inlineStr">
        <is>
          <t>ÖREBRO LÄN</t>
        </is>
      </c>
      <c r="E265" t="inlineStr">
        <is>
          <t>HALLSBERG</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27396-2022</t>
        </is>
      </c>
      <c r="B266" s="1" t="n">
        <v>44742</v>
      </c>
      <c r="C266" s="1" t="n">
        <v>45736</v>
      </c>
      <c r="D266" t="inlineStr">
        <is>
          <t>ÖREBRO LÄN</t>
        </is>
      </c>
      <c r="E266" t="inlineStr">
        <is>
          <t>HALLSBERG</t>
        </is>
      </c>
      <c r="G266" t="n">
        <v>3</v>
      </c>
      <c r="H266" t="n">
        <v>0</v>
      </c>
      <c r="I266" t="n">
        <v>0</v>
      </c>
      <c r="J266" t="n">
        <v>0</v>
      </c>
      <c r="K266" t="n">
        <v>0</v>
      </c>
      <c r="L266" t="n">
        <v>0</v>
      </c>
      <c r="M266" t="n">
        <v>0</v>
      </c>
      <c r="N266" t="n">
        <v>0</v>
      </c>
      <c r="O266" t="n">
        <v>0</v>
      </c>
      <c r="P266" t="n">
        <v>0</v>
      </c>
      <c r="Q266" t="n">
        <v>0</v>
      </c>
      <c r="R266" s="2" t="inlineStr"/>
    </row>
    <row r="267" ht="15" customHeight="1">
      <c r="A267" t="inlineStr">
        <is>
          <t>A 29859-2022</t>
        </is>
      </c>
      <c r="B267" s="1" t="n">
        <v>44756</v>
      </c>
      <c r="C267" s="1" t="n">
        <v>45736</v>
      </c>
      <c r="D267" t="inlineStr">
        <is>
          <t>ÖREBRO LÄN</t>
        </is>
      </c>
      <c r="E267" t="inlineStr">
        <is>
          <t>HALLSBERG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30144-2022</t>
        </is>
      </c>
      <c r="B268" s="1" t="n">
        <v>44757</v>
      </c>
      <c r="C268" s="1" t="n">
        <v>45736</v>
      </c>
      <c r="D268" t="inlineStr">
        <is>
          <t>ÖREBRO LÄN</t>
        </is>
      </c>
      <c r="E268" t="inlineStr">
        <is>
          <t>HALLSBERG</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30145-2022</t>
        </is>
      </c>
      <c r="B269" s="1" t="n">
        <v>44757</v>
      </c>
      <c r="C269" s="1" t="n">
        <v>45736</v>
      </c>
      <c r="D269" t="inlineStr">
        <is>
          <t>ÖREBRO LÄN</t>
        </is>
      </c>
      <c r="E269" t="inlineStr">
        <is>
          <t>HALLSBERG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30621-2022</t>
        </is>
      </c>
      <c r="B270" s="1" t="n">
        <v>44763</v>
      </c>
      <c r="C270" s="1" t="n">
        <v>45736</v>
      </c>
      <c r="D270" t="inlineStr">
        <is>
          <t>ÖREBRO LÄN</t>
        </is>
      </c>
      <c r="E270" t="inlineStr">
        <is>
          <t>HALLSBERG</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31612-2022</t>
        </is>
      </c>
      <c r="B271" s="1" t="n">
        <v>44775</v>
      </c>
      <c r="C271" s="1" t="n">
        <v>45736</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31615-2022</t>
        </is>
      </c>
      <c r="B272" s="1" t="n">
        <v>44775</v>
      </c>
      <c r="C272" s="1" t="n">
        <v>45736</v>
      </c>
      <c r="D272" t="inlineStr">
        <is>
          <t>ÖREBRO LÄN</t>
        </is>
      </c>
      <c r="E272" t="inlineStr">
        <is>
          <t>HALLSBERG</t>
        </is>
      </c>
      <c r="G272" t="n">
        <v>5.1</v>
      </c>
      <c r="H272" t="n">
        <v>0</v>
      </c>
      <c r="I272" t="n">
        <v>0</v>
      </c>
      <c r="J272" t="n">
        <v>0</v>
      </c>
      <c r="K272" t="n">
        <v>0</v>
      </c>
      <c r="L272" t="n">
        <v>0</v>
      </c>
      <c r="M272" t="n">
        <v>0</v>
      </c>
      <c r="N272" t="n">
        <v>0</v>
      </c>
      <c r="O272" t="n">
        <v>0</v>
      </c>
      <c r="P272" t="n">
        <v>0</v>
      </c>
      <c r="Q272" t="n">
        <v>0</v>
      </c>
      <c r="R272" s="2" t="inlineStr"/>
    </row>
    <row r="273" ht="15" customHeight="1">
      <c r="A273" t="inlineStr">
        <is>
          <t>A 31747-2022</t>
        </is>
      </c>
      <c r="B273" s="1" t="n">
        <v>44776</v>
      </c>
      <c r="C273" s="1" t="n">
        <v>45736</v>
      </c>
      <c r="D273" t="inlineStr">
        <is>
          <t>ÖREBRO LÄN</t>
        </is>
      </c>
      <c r="E273" t="inlineStr">
        <is>
          <t>HALLSBERG</t>
        </is>
      </c>
      <c r="G273" t="n">
        <v>1.1</v>
      </c>
      <c r="H273" t="n">
        <v>0</v>
      </c>
      <c r="I273" t="n">
        <v>0</v>
      </c>
      <c r="J273" t="n">
        <v>0</v>
      </c>
      <c r="K273" t="n">
        <v>0</v>
      </c>
      <c r="L273" t="n">
        <v>0</v>
      </c>
      <c r="M273" t="n">
        <v>0</v>
      </c>
      <c r="N273" t="n">
        <v>0</v>
      </c>
      <c r="O273" t="n">
        <v>0</v>
      </c>
      <c r="P273" t="n">
        <v>0</v>
      </c>
      <c r="Q273" t="n">
        <v>0</v>
      </c>
      <c r="R273" s="2" t="inlineStr"/>
    </row>
    <row r="274" ht="15" customHeight="1">
      <c r="A274" t="inlineStr">
        <is>
          <t>A 31818-2022</t>
        </is>
      </c>
      <c r="B274" s="1" t="n">
        <v>44776</v>
      </c>
      <c r="C274" s="1" t="n">
        <v>45736</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31893-2022</t>
        </is>
      </c>
      <c r="B275" s="1" t="n">
        <v>44777</v>
      </c>
      <c r="C275" s="1" t="n">
        <v>45736</v>
      </c>
      <c r="D275" t="inlineStr">
        <is>
          <t>ÖREBRO LÄN</t>
        </is>
      </c>
      <c r="E275" t="inlineStr">
        <is>
          <t>HALLSBERG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31912-2022</t>
        </is>
      </c>
      <c r="B276" s="1" t="n">
        <v>44777</v>
      </c>
      <c r="C276" s="1" t="n">
        <v>45736</v>
      </c>
      <c r="D276" t="inlineStr">
        <is>
          <t>ÖREBRO LÄN</t>
        </is>
      </c>
      <c r="E276" t="inlineStr">
        <is>
          <t>HALLSBERG</t>
        </is>
      </c>
      <c r="F276" t="inlineStr">
        <is>
          <t>Övriga Aktiebolag</t>
        </is>
      </c>
      <c r="G276" t="n">
        <v>8.1</v>
      </c>
      <c r="H276" t="n">
        <v>0</v>
      </c>
      <c r="I276" t="n">
        <v>0</v>
      </c>
      <c r="J276" t="n">
        <v>0</v>
      </c>
      <c r="K276" t="n">
        <v>0</v>
      </c>
      <c r="L276" t="n">
        <v>0</v>
      </c>
      <c r="M276" t="n">
        <v>0</v>
      </c>
      <c r="N276" t="n">
        <v>0</v>
      </c>
      <c r="O276" t="n">
        <v>0</v>
      </c>
      <c r="P276" t="n">
        <v>0</v>
      </c>
      <c r="Q276" t="n">
        <v>0</v>
      </c>
      <c r="R276" s="2" t="inlineStr"/>
    </row>
    <row r="277" ht="15" customHeight="1">
      <c r="A277" t="inlineStr">
        <is>
          <t>A 31994-2022</t>
        </is>
      </c>
      <c r="B277" s="1" t="n">
        <v>44778</v>
      </c>
      <c r="C277" s="1" t="n">
        <v>45736</v>
      </c>
      <c r="D277" t="inlineStr">
        <is>
          <t>ÖREBRO LÄN</t>
        </is>
      </c>
      <c r="E277" t="inlineStr">
        <is>
          <t>HALLSBERG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32512-2022</t>
        </is>
      </c>
      <c r="B278" s="1" t="n">
        <v>44782</v>
      </c>
      <c r="C278" s="1" t="n">
        <v>45736</v>
      </c>
      <c r="D278" t="inlineStr">
        <is>
          <t>ÖREBRO LÄN</t>
        </is>
      </c>
      <c r="E278" t="inlineStr">
        <is>
          <t>HALLSBERG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33405-2022</t>
        </is>
      </c>
      <c r="B279" s="1" t="n">
        <v>44788</v>
      </c>
      <c r="C279" s="1" t="n">
        <v>45736</v>
      </c>
      <c r="D279" t="inlineStr">
        <is>
          <t>ÖREBRO LÄN</t>
        </is>
      </c>
      <c r="E279" t="inlineStr">
        <is>
          <t>HALLSBERG</t>
        </is>
      </c>
      <c r="G279" t="n">
        <v>2.4</v>
      </c>
      <c r="H279" t="n">
        <v>0</v>
      </c>
      <c r="I279" t="n">
        <v>0</v>
      </c>
      <c r="J279" t="n">
        <v>0</v>
      </c>
      <c r="K279" t="n">
        <v>0</v>
      </c>
      <c r="L279" t="n">
        <v>0</v>
      </c>
      <c r="M279" t="n">
        <v>0</v>
      </c>
      <c r="N279" t="n">
        <v>0</v>
      </c>
      <c r="O279" t="n">
        <v>0</v>
      </c>
      <c r="P279" t="n">
        <v>0</v>
      </c>
      <c r="Q279" t="n">
        <v>0</v>
      </c>
      <c r="R279" s="2" t="inlineStr"/>
    </row>
    <row r="280" ht="15" customHeight="1">
      <c r="A280" t="inlineStr">
        <is>
          <t>A 34227-2022</t>
        </is>
      </c>
      <c r="B280" s="1" t="n">
        <v>44791</v>
      </c>
      <c r="C280" s="1" t="n">
        <v>45736</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34222-2022</t>
        </is>
      </c>
      <c r="B281" s="1" t="n">
        <v>44791</v>
      </c>
      <c r="C281" s="1" t="n">
        <v>45736</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35097-2022</t>
        </is>
      </c>
      <c r="B282" s="1" t="n">
        <v>44797</v>
      </c>
      <c r="C282" s="1" t="n">
        <v>45736</v>
      </c>
      <c r="D282" t="inlineStr">
        <is>
          <t>ÖREBRO LÄN</t>
        </is>
      </c>
      <c r="E282" t="inlineStr">
        <is>
          <t>HALLSBERG</t>
        </is>
      </c>
      <c r="G282" t="n">
        <v>8.9</v>
      </c>
      <c r="H282" t="n">
        <v>0</v>
      </c>
      <c r="I282" t="n">
        <v>0</v>
      </c>
      <c r="J282" t="n">
        <v>0</v>
      </c>
      <c r="K282" t="n">
        <v>0</v>
      </c>
      <c r="L282" t="n">
        <v>0</v>
      </c>
      <c r="M282" t="n">
        <v>0</v>
      </c>
      <c r="N282" t="n">
        <v>0</v>
      </c>
      <c r="O282" t="n">
        <v>0</v>
      </c>
      <c r="P282" t="n">
        <v>0</v>
      </c>
      <c r="Q282" t="n">
        <v>0</v>
      </c>
      <c r="R282" s="2" t="inlineStr"/>
    </row>
    <row r="283" ht="15" customHeight="1">
      <c r="A283" t="inlineStr">
        <is>
          <t>A 35095-2022</t>
        </is>
      </c>
      <c r="B283" s="1" t="n">
        <v>44797</v>
      </c>
      <c r="C283" s="1" t="n">
        <v>45736</v>
      </c>
      <c r="D283" t="inlineStr">
        <is>
          <t>ÖREBRO LÄN</t>
        </is>
      </c>
      <c r="E283" t="inlineStr">
        <is>
          <t>HALLSBERG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35421-2022</t>
        </is>
      </c>
      <c r="B284" s="1" t="n">
        <v>44798</v>
      </c>
      <c r="C284" s="1" t="n">
        <v>45736</v>
      </c>
      <c r="D284" t="inlineStr">
        <is>
          <t>ÖREBRO LÄN</t>
        </is>
      </c>
      <c r="E284" t="inlineStr">
        <is>
          <t>HALLSBERG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35428-2022</t>
        </is>
      </c>
      <c r="B285" s="1" t="n">
        <v>44798</v>
      </c>
      <c r="C285" s="1" t="n">
        <v>45736</v>
      </c>
      <c r="D285" t="inlineStr">
        <is>
          <t>ÖREBRO LÄN</t>
        </is>
      </c>
      <c r="E285" t="inlineStr">
        <is>
          <t>HALLSBERG</t>
        </is>
      </c>
      <c r="G285" t="n">
        <v>3</v>
      </c>
      <c r="H285" t="n">
        <v>0</v>
      </c>
      <c r="I285" t="n">
        <v>0</v>
      </c>
      <c r="J285" t="n">
        <v>0</v>
      </c>
      <c r="K285" t="n">
        <v>0</v>
      </c>
      <c r="L285" t="n">
        <v>0</v>
      </c>
      <c r="M285" t="n">
        <v>0</v>
      </c>
      <c r="N285" t="n">
        <v>0</v>
      </c>
      <c r="O285" t="n">
        <v>0</v>
      </c>
      <c r="P285" t="n">
        <v>0</v>
      </c>
      <c r="Q285" t="n">
        <v>0</v>
      </c>
      <c r="R285" s="2" t="inlineStr"/>
    </row>
    <row r="286" ht="15" customHeight="1">
      <c r="A286" t="inlineStr">
        <is>
          <t>A 36276-2022</t>
        </is>
      </c>
      <c r="B286" s="1" t="n">
        <v>44803</v>
      </c>
      <c r="C286" s="1" t="n">
        <v>45736</v>
      </c>
      <c r="D286" t="inlineStr">
        <is>
          <t>ÖREBRO LÄN</t>
        </is>
      </c>
      <c r="E286" t="inlineStr">
        <is>
          <t>HALLSBERG</t>
        </is>
      </c>
      <c r="G286" t="n">
        <v>4.2</v>
      </c>
      <c r="H286" t="n">
        <v>0</v>
      </c>
      <c r="I286" t="n">
        <v>0</v>
      </c>
      <c r="J286" t="n">
        <v>0</v>
      </c>
      <c r="K286" t="n">
        <v>0</v>
      </c>
      <c r="L286" t="n">
        <v>0</v>
      </c>
      <c r="M286" t="n">
        <v>0</v>
      </c>
      <c r="N286" t="n">
        <v>0</v>
      </c>
      <c r="O286" t="n">
        <v>0</v>
      </c>
      <c r="P286" t="n">
        <v>0</v>
      </c>
      <c r="Q286" t="n">
        <v>0</v>
      </c>
      <c r="R286" s="2" t="inlineStr"/>
    </row>
    <row r="287" ht="15" customHeight="1">
      <c r="A287" t="inlineStr">
        <is>
          <t>A 38831-2022</t>
        </is>
      </c>
      <c r="B287" s="1" t="n">
        <v>44814</v>
      </c>
      <c r="C287" s="1" t="n">
        <v>45736</v>
      </c>
      <c r="D287" t="inlineStr">
        <is>
          <t>ÖREBRO LÄN</t>
        </is>
      </c>
      <c r="E287" t="inlineStr">
        <is>
          <t>HALLSBERG</t>
        </is>
      </c>
      <c r="G287" t="n">
        <v>0.8</v>
      </c>
      <c r="H287" t="n">
        <v>0</v>
      </c>
      <c r="I287" t="n">
        <v>0</v>
      </c>
      <c r="J287" t="n">
        <v>0</v>
      </c>
      <c r="K287" t="n">
        <v>0</v>
      </c>
      <c r="L287" t="n">
        <v>0</v>
      </c>
      <c r="M287" t="n">
        <v>0</v>
      </c>
      <c r="N287" t="n">
        <v>0</v>
      </c>
      <c r="O287" t="n">
        <v>0</v>
      </c>
      <c r="P287" t="n">
        <v>0</v>
      </c>
      <c r="Q287" t="n">
        <v>0</v>
      </c>
      <c r="R287" s="2" t="inlineStr"/>
    </row>
    <row r="288" ht="15" customHeight="1">
      <c r="A288" t="inlineStr">
        <is>
          <t>A 38921-2022</t>
        </is>
      </c>
      <c r="B288" s="1" t="n">
        <v>44816</v>
      </c>
      <c r="C288" s="1" t="n">
        <v>45736</v>
      </c>
      <c r="D288" t="inlineStr">
        <is>
          <t>ÖREBRO LÄN</t>
        </is>
      </c>
      <c r="E288" t="inlineStr">
        <is>
          <t>HALLSBERG</t>
        </is>
      </c>
      <c r="G288" t="n">
        <v>0.9</v>
      </c>
      <c r="H288" t="n">
        <v>0</v>
      </c>
      <c r="I288" t="n">
        <v>0</v>
      </c>
      <c r="J288" t="n">
        <v>0</v>
      </c>
      <c r="K288" t="n">
        <v>0</v>
      </c>
      <c r="L288" t="n">
        <v>0</v>
      </c>
      <c r="M288" t="n">
        <v>0</v>
      </c>
      <c r="N288" t="n">
        <v>0</v>
      </c>
      <c r="O288" t="n">
        <v>0</v>
      </c>
      <c r="P288" t="n">
        <v>0</v>
      </c>
      <c r="Q288" t="n">
        <v>0</v>
      </c>
      <c r="R288" s="2" t="inlineStr"/>
    </row>
    <row r="289" ht="15" customHeight="1">
      <c r="A289" t="inlineStr">
        <is>
          <t>A 39725-2022</t>
        </is>
      </c>
      <c r="B289" s="1" t="n">
        <v>44816</v>
      </c>
      <c r="C289" s="1" t="n">
        <v>45736</v>
      </c>
      <c r="D289" t="inlineStr">
        <is>
          <t>ÖREBRO LÄN</t>
        </is>
      </c>
      <c r="E289" t="inlineStr">
        <is>
          <t>HALLSBERG</t>
        </is>
      </c>
      <c r="G289" t="n">
        <v>2.1</v>
      </c>
      <c r="H289" t="n">
        <v>0</v>
      </c>
      <c r="I289" t="n">
        <v>0</v>
      </c>
      <c r="J289" t="n">
        <v>0</v>
      </c>
      <c r="K289" t="n">
        <v>0</v>
      </c>
      <c r="L289" t="n">
        <v>0</v>
      </c>
      <c r="M289" t="n">
        <v>0</v>
      </c>
      <c r="N289" t="n">
        <v>0</v>
      </c>
      <c r="O289" t="n">
        <v>0</v>
      </c>
      <c r="P289" t="n">
        <v>0</v>
      </c>
      <c r="Q289" t="n">
        <v>0</v>
      </c>
      <c r="R289" s="2" t="inlineStr"/>
    </row>
    <row r="290" ht="15" customHeight="1">
      <c r="A290" t="inlineStr">
        <is>
          <t>A 41595-2022</t>
        </is>
      </c>
      <c r="B290" s="1" t="n">
        <v>44827</v>
      </c>
      <c r="C290" s="1" t="n">
        <v>45736</v>
      </c>
      <c r="D290" t="inlineStr">
        <is>
          <t>ÖREBRO LÄN</t>
        </is>
      </c>
      <c r="E290" t="inlineStr">
        <is>
          <t>HALLSBERG</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41602-2022</t>
        </is>
      </c>
      <c r="B291" s="1" t="n">
        <v>44827</v>
      </c>
      <c r="C291" s="1" t="n">
        <v>45736</v>
      </c>
      <c r="D291" t="inlineStr">
        <is>
          <t>ÖREBRO LÄN</t>
        </is>
      </c>
      <c r="E291" t="inlineStr">
        <is>
          <t>HALLSBERG</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42206-2022</t>
        </is>
      </c>
      <c r="B292" s="1" t="n">
        <v>44830</v>
      </c>
      <c r="C292" s="1" t="n">
        <v>45736</v>
      </c>
      <c r="D292" t="inlineStr">
        <is>
          <t>ÖREBRO LÄN</t>
        </is>
      </c>
      <c r="E292" t="inlineStr">
        <is>
          <t>HALLSBERG</t>
        </is>
      </c>
      <c r="G292" t="n">
        <v>2.3</v>
      </c>
      <c r="H292" t="n">
        <v>0</v>
      </c>
      <c r="I292" t="n">
        <v>0</v>
      </c>
      <c r="J292" t="n">
        <v>0</v>
      </c>
      <c r="K292" t="n">
        <v>0</v>
      </c>
      <c r="L292" t="n">
        <v>0</v>
      </c>
      <c r="M292" t="n">
        <v>0</v>
      </c>
      <c r="N292" t="n">
        <v>0</v>
      </c>
      <c r="O292" t="n">
        <v>0</v>
      </c>
      <c r="P292" t="n">
        <v>0</v>
      </c>
      <c r="Q292" t="n">
        <v>0</v>
      </c>
      <c r="R292" s="2" t="inlineStr"/>
    </row>
    <row r="293" ht="15" customHeight="1">
      <c r="A293" t="inlineStr">
        <is>
          <t>A 42559-2022</t>
        </is>
      </c>
      <c r="B293" s="1" t="n">
        <v>44831</v>
      </c>
      <c r="C293" s="1" t="n">
        <v>45736</v>
      </c>
      <c r="D293" t="inlineStr">
        <is>
          <t>ÖREBRO LÄN</t>
        </is>
      </c>
      <c r="E293" t="inlineStr">
        <is>
          <t>HALLSBERG</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43679-2022</t>
        </is>
      </c>
      <c r="B294" s="1" t="n">
        <v>44837</v>
      </c>
      <c r="C294" s="1" t="n">
        <v>45736</v>
      </c>
      <c r="D294" t="inlineStr">
        <is>
          <t>ÖREBRO LÄN</t>
        </is>
      </c>
      <c r="E294" t="inlineStr">
        <is>
          <t>HALLSBERG</t>
        </is>
      </c>
      <c r="G294" t="n">
        <v>1.3</v>
      </c>
      <c r="H294" t="n">
        <v>0</v>
      </c>
      <c r="I294" t="n">
        <v>0</v>
      </c>
      <c r="J294" t="n">
        <v>0</v>
      </c>
      <c r="K294" t="n">
        <v>0</v>
      </c>
      <c r="L294" t="n">
        <v>0</v>
      </c>
      <c r="M294" t="n">
        <v>0</v>
      </c>
      <c r="N294" t="n">
        <v>0</v>
      </c>
      <c r="O294" t="n">
        <v>0</v>
      </c>
      <c r="P294" t="n">
        <v>0</v>
      </c>
      <c r="Q294" t="n">
        <v>0</v>
      </c>
      <c r="R294" s="2" t="inlineStr"/>
    </row>
    <row r="295" ht="15" customHeight="1">
      <c r="A295" t="inlineStr">
        <is>
          <t>A 44210-2022</t>
        </is>
      </c>
      <c r="B295" s="1" t="n">
        <v>44839</v>
      </c>
      <c r="C295" s="1" t="n">
        <v>45736</v>
      </c>
      <c r="D295" t="inlineStr">
        <is>
          <t>ÖREBRO LÄN</t>
        </is>
      </c>
      <c r="E295" t="inlineStr">
        <is>
          <t>HALLSBERG</t>
        </is>
      </c>
      <c r="G295" t="n">
        <v>1.8</v>
      </c>
      <c r="H295" t="n">
        <v>0</v>
      </c>
      <c r="I295" t="n">
        <v>0</v>
      </c>
      <c r="J295" t="n">
        <v>0</v>
      </c>
      <c r="K295" t="n">
        <v>0</v>
      </c>
      <c r="L295" t="n">
        <v>0</v>
      </c>
      <c r="M295" t="n">
        <v>0</v>
      </c>
      <c r="N295" t="n">
        <v>0</v>
      </c>
      <c r="O295" t="n">
        <v>0</v>
      </c>
      <c r="P295" t="n">
        <v>0</v>
      </c>
      <c r="Q295" t="n">
        <v>0</v>
      </c>
      <c r="R295" s="2" t="inlineStr"/>
    </row>
    <row r="296" ht="15" customHeight="1">
      <c r="A296" t="inlineStr">
        <is>
          <t>A 44216-2022</t>
        </is>
      </c>
      <c r="B296" s="1" t="n">
        <v>44839</v>
      </c>
      <c r="C296" s="1" t="n">
        <v>45736</v>
      </c>
      <c r="D296" t="inlineStr">
        <is>
          <t>ÖREBRO LÄN</t>
        </is>
      </c>
      <c r="E296" t="inlineStr">
        <is>
          <t>HALLSBERG</t>
        </is>
      </c>
      <c r="G296" t="n">
        <v>2</v>
      </c>
      <c r="H296" t="n">
        <v>0</v>
      </c>
      <c r="I296" t="n">
        <v>0</v>
      </c>
      <c r="J296" t="n">
        <v>0</v>
      </c>
      <c r="K296" t="n">
        <v>0</v>
      </c>
      <c r="L296" t="n">
        <v>0</v>
      </c>
      <c r="M296" t="n">
        <v>0</v>
      </c>
      <c r="N296" t="n">
        <v>0</v>
      </c>
      <c r="O296" t="n">
        <v>0</v>
      </c>
      <c r="P296" t="n">
        <v>0</v>
      </c>
      <c r="Q296" t="n">
        <v>0</v>
      </c>
      <c r="R296" s="2" t="inlineStr"/>
    </row>
    <row r="297" ht="15" customHeight="1">
      <c r="A297" t="inlineStr">
        <is>
          <t>A 44512-2022</t>
        </is>
      </c>
      <c r="B297" s="1" t="n">
        <v>44840</v>
      </c>
      <c r="C297" s="1" t="n">
        <v>45736</v>
      </c>
      <c r="D297" t="inlineStr">
        <is>
          <t>ÖREBRO LÄN</t>
        </is>
      </c>
      <c r="E297" t="inlineStr">
        <is>
          <t>HALLSBERG</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45360-2022</t>
        </is>
      </c>
      <c r="B298" s="1" t="n">
        <v>44844</v>
      </c>
      <c r="C298" s="1" t="n">
        <v>45736</v>
      </c>
      <c r="D298" t="inlineStr">
        <is>
          <t>ÖREBRO LÄN</t>
        </is>
      </c>
      <c r="E298" t="inlineStr">
        <is>
          <t>HALLSBERG</t>
        </is>
      </c>
      <c r="G298" t="n">
        <v>0.8</v>
      </c>
      <c r="H298" t="n">
        <v>0</v>
      </c>
      <c r="I298" t="n">
        <v>0</v>
      </c>
      <c r="J298" t="n">
        <v>0</v>
      </c>
      <c r="K298" t="n">
        <v>0</v>
      </c>
      <c r="L298" t="n">
        <v>0</v>
      </c>
      <c r="M298" t="n">
        <v>0</v>
      </c>
      <c r="N298" t="n">
        <v>0</v>
      </c>
      <c r="O298" t="n">
        <v>0</v>
      </c>
      <c r="P298" t="n">
        <v>0</v>
      </c>
      <c r="Q298" t="n">
        <v>0</v>
      </c>
      <c r="R298" s="2" t="inlineStr"/>
    </row>
    <row r="299" ht="15" customHeight="1">
      <c r="A299" t="inlineStr">
        <is>
          <t>A 45341-2022</t>
        </is>
      </c>
      <c r="B299" s="1" t="n">
        <v>44844</v>
      </c>
      <c r="C299" s="1" t="n">
        <v>45736</v>
      </c>
      <c r="D299" t="inlineStr">
        <is>
          <t>ÖREBRO LÄN</t>
        </is>
      </c>
      <c r="E299" t="inlineStr">
        <is>
          <t>HALLSBERG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46416-2022</t>
        </is>
      </c>
      <c r="B300" s="1" t="n">
        <v>44848</v>
      </c>
      <c r="C300" s="1" t="n">
        <v>45736</v>
      </c>
      <c r="D300" t="inlineStr">
        <is>
          <t>ÖREBRO LÄN</t>
        </is>
      </c>
      <c r="E300" t="inlineStr">
        <is>
          <t>HALLSBERG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46421-2022</t>
        </is>
      </c>
      <c r="B301" s="1" t="n">
        <v>44848</v>
      </c>
      <c r="C301" s="1" t="n">
        <v>45736</v>
      </c>
      <c r="D301" t="inlineStr">
        <is>
          <t>ÖREBRO LÄN</t>
        </is>
      </c>
      <c r="E301" t="inlineStr">
        <is>
          <t>HALLSBERG</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48029-2022</t>
        </is>
      </c>
      <c r="B302" s="1" t="n">
        <v>44855</v>
      </c>
      <c r="C302" s="1" t="n">
        <v>45736</v>
      </c>
      <c r="D302" t="inlineStr">
        <is>
          <t>ÖREBRO LÄN</t>
        </is>
      </c>
      <c r="E302" t="inlineStr">
        <is>
          <t>HALLSBERG</t>
        </is>
      </c>
      <c r="F302" t="inlineStr">
        <is>
          <t>Allmännings- och besparingsskogar</t>
        </is>
      </c>
      <c r="G302" t="n">
        <v>3.3</v>
      </c>
      <c r="H302" t="n">
        <v>0</v>
      </c>
      <c r="I302" t="n">
        <v>0</v>
      </c>
      <c r="J302" t="n">
        <v>0</v>
      </c>
      <c r="K302" t="n">
        <v>0</v>
      </c>
      <c r="L302" t="n">
        <v>0</v>
      </c>
      <c r="M302" t="n">
        <v>0</v>
      </c>
      <c r="N302" t="n">
        <v>0</v>
      </c>
      <c r="O302" t="n">
        <v>0</v>
      </c>
      <c r="P302" t="n">
        <v>0</v>
      </c>
      <c r="Q302" t="n">
        <v>0</v>
      </c>
      <c r="R302" s="2" t="inlineStr"/>
    </row>
    <row r="303" ht="15" customHeight="1">
      <c r="A303" t="inlineStr">
        <is>
          <t>A 48294-2022</t>
        </is>
      </c>
      <c r="B303" s="1" t="n">
        <v>44858</v>
      </c>
      <c r="C303" s="1" t="n">
        <v>45736</v>
      </c>
      <c r="D303" t="inlineStr">
        <is>
          <t>ÖREBRO LÄN</t>
        </is>
      </c>
      <c r="E303" t="inlineStr">
        <is>
          <t>HALLSBERG</t>
        </is>
      </c>
      <c r="F303" t="inlineStr">
        <is>
          <t>Sveaskog</t>
        </is>
      </c>
      <c r="G303" t="n">
        <v>8.6</v>
      </c>
      <c r="H303" t="n">
        <v>0</v>
      </c>
      <c r="I303" t="n">
        <v>0</v>
      </c>
      <c r="J303" t="n">
        <v>0</v>
      </c>
      <c r="K303" t="n">
        <v>0</v>
      </c>
      <c r="L303" t="n">
        <v>0</v>
      </c>
      <c r="M303" t="n">
        <v>0</v>
      </c>
      <c r="N303" t="n">
        <v>0</v>
      </c>
      <c r="O303" t="n">
        <v>0</v>
      </c>
      <c r="P303" t="n">
        <v>0</v>
      </c>
      <c r="Q303" t="n">
        <v>0</v>
      </c>
      <c r="R303" s="2" t="inlineStr"/>
    </row>
    <row r="304" ht="15" customHeight="1">
      <c r="A304" t="inlineStr">
        <is>
          <t>A 48883-2022</t>
        </is>
      </c>
      <c r="B304" s="1" t="n">
        <v>44859</v>
      </c>
      <c r="C304" s="1" t="n">
        <v>45736</v>
      </c>
      <c r="D304" t="inlineStr">
        <is>
          <t>ÖREBRO LÄN</t>
        </is>
      </c>
      <c r="E304" t="inlineStr">
        <is>
          <t>HALLSBERG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49582-2022</t>
        </is>
      </c>
      <c r="B305" s="1" t="n">
        <v>44862</v>
      </c>
      <c r="C305" s="1" t="n">
        <v>45736</v>
      </c>
      <c r="D305" t="inlineStr">
        <is>
          <t>ÖREBRO LÄN</t>
        </is>
      </c>
      <c r="E305" t="inlineStr">
        <is>
          <t>HALLSBERG</t>
        </is>
      </c>
      <c r="G305" t="n">
        <v>2.7</v>
      </c>
      <c r="H305" t="n">
        <v>0</v>
      </c>
      <c r="I305" t="n">
        <v>0</v>
      </c>
      <c r="J305" t="n">
        <v>0</v>
      </c>
      <c r="K305" t="n">
        <v>0</v>
      </c>
      <c r="L305" t="n">
        <v>0</v>
      </c>
      <c r="M305" t="n">
        <v>0</v>
      </c>
      <c r="N305" t="n">
        <v>0</v>
      </c>
      <c r="O305" t="n">
        <v>0</v>
      </c>
      <c r="P305" t="n">
        <v>0</v>
      </c>
      <c r="Q305" t="n">
        <v>0</v>
      </c>
      <c r="R305" s="2" t="inlineStr"/>
    </row>
    <row r="306" ht="15" customHeight="1">
      <c r="A306" t="inlineStr">
        <is>
          <t>A 49645-2022</t>
        </is>
      </c>
      <c r="B306" s="1" t="n">
        <v>44862</v>
      </c>
      <c r="C306" s="1" t="n">
        <v>45736</v>
      </c>
      <c r="D306" t="inlineStr">
        <is>
          <t>ÖREBRO LÄN</t>
        </is>
      </c>
      <c r="E306" t="inlineStr">
        <is>
          <t>HALLSBERG</t>
        </is>
      </c>
      <c r="G306" t="n">
        <v>1.7</v>
      </c>
      <c r="H306" t="n">
        <v>0</v>
      </c>
      <c r="I306" t="n">
        <v>0</v>
      </c>
      <c r="J306" t="n">
        <v>0</v>
      </c>
      <c r="K306" t="n">
        <v>0</v>
      </c>
      <c r="L306" t="n">
        <v>0</v>
      </c>
      <c r="M306" t="n">
        <v>0</v>
      </c>
      <c r="N306" t="n">
        <v>0</v>
      </c>
      <c r="O306" t="n">
        <v>0</v>
      </c>
      <c r="P306" t="n">
        <v>0</v>
      </c>
      <c r="Q306" t="n">
        <v>0</v>
      </c>
      <c r="R306" s="2" t="inlineStr"/>
    </row>
    <row r="307" ht="15" customHeight="1">
      <c r="A307" t="inlineStr">
        <is>
          <t>A 49684-2022</t>
        </is>
      </c>
      <c r="B307" s="1" t="n">
        <v>44862</v>
      </c>
      <c r="C307" s="1" t="n">
        <v>45736</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50958-2022</t>
        </is>
      </c>
      <c r="B308" s="1" t="n">
        <v>44867</v>
      </c>
      <c r="C308" s="1" t="n">
        <v>45736</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51175-2022</t>
        </is>
      </c>
      <c r="B309" s="1" t="n">
        <v>44868</v>
      </c>
      <c r="C309" s="1" t="n">
        <v>45736</v>
      </c>
      <c r="D309" t="inlineStr">
        <is>
          <t>ÖREBRO LÄN</t>
        </is>
      </c>
      <c r="E309" t="inlineStr">
        <is>
          <t>HALLSBERG</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51479-2022</t>
        </is>
      </c>
      <c r="B310" s="1" t="n">
        <v>44869</v>
      </c>
      <c r="C310" s="1" t="n">
        <v>45736</v>
      </c>
      <c r="D310" t="inlineStr">
        <is>
          <t>ÖREBRO LÄN</t>
        </is>
      </c>
      <c r="E310" t="inlineStr">
        <is>
          <t>HALLSBERG</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55049-2022</t>
        </is>
      </c>
      <c r="B311" s="1" t="n">
        <v>44886</v>
      </c>
      <c r="C311" s="1" t="n">
        <v>45736</v>
      </c>
      <c r="D311" t="inlineStr">
        <is>
          <t>ÖREBRO LÄN</t>
        </is>
      </c>
      <c r="E311" t="inlineStr">
        <is>
          <t>HALLSBERG</t>
        </is>
      </c>
      <c r="G311" t="n">
        <v>2.9</v>
      </c>
      <c r="H311" t="n">
        <v>0</v>
      </c>
      <c r="I311" t="n">
        <v>0</v>
      </c>
      <c r="J311" t="n">
        <v>0</v>
      </c>
      <c r="K311" t="n">
        <v>0</v>
      </c>
      <c r="L311" t="n">
        <v>0</v>
      </c>
      <c r="M311" t="n">
        <v>0</v>
      </c>
      <c r="N311" t="n">
        <v>0</v>
      </c>
      <c r="O311" t="n">
        <v>0</v>
      </c>
      <c r="P311" t="n">
        <v>0</v>
      </c>
      <c r="Q311" t="n">
        <v>0</v>
      </c>
      <c r="R311" s="2" t="inlineStr"/>
    </row>
    <row r="312" ht="15" customHeight="1">
      <c r="A312" t="inlineStr">
        <is>
          <t>A 57251-2022</t>
        </is>
      </c>
      <c r="B312" s="1" t="n">
        <v>44895</v>
      </c>
      <c r="C312" s="1" t="n">
        <v>45736</v>
      </c>
      <c r="D312" t="inlineStr">
        <is>
          <t>ÖREBRO LÄN</t>
        </is>
      </c>
      <c r="E312" t="inlineStr">
        <is>
          <t>HALLSBERG</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61448-2022</t>
        </is>
      </c>
      <c r="B313" s="1" t="n">
        <v>44916</v>
      </c>
      <c r="C313" s="1" t="n">
        <v>45736</v>
      </c>
      <c r="D313" t="inlineStr">
        <is>
          <t>ÖREBRO LÄN</t>
        </is>
      </c>
      <c r="E313" t="inlineStr">
        <is>
          <t>HALLSBERG</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348-2023</t>
        </is>
      </c>
      <c r="B314" s="1" t="n">
        <v>44929</v>
      </c>
      <c r="C314" s="1" t="n">
        <v>45736</v>
      </c>
      <c r="D314" t="inlineStr">
        <is>
          <t>ÖREBRO LÄN</t>
        </is>
      </c>
      <c r="E314" t="inlineStr">
        <is>
          <t>HALLSBERG</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349-2023</t>
        </is>
      </c>
      <c r="B315" s="1" t="n">
        <v>44929</v>
      </c>
      <c r="C315" s="1" t="n">
        <v>45736</v>
      </c>
      <c r="D315" t="inlineStr">
        <is>
          <t>ÖREBRO LÄN</t>
        </is>
      </c>
      <c r="E315" t="inlineStr">
        <is>
          <t>HALLSBERG</t>
        </is>
      </c>
      <c r="F315" t="inlineStr">
        <is>
          <t>Allmännings- och besparingsskogar</t>
        </is>
      </c>
      <c r="G315" t="n">
        <v>10.6</v>
      </c>
      <c r="H315" t="n">
        <v>0</v>
      </c>
      <c r="I315" t="n">
        <v>0</v>
      </c>
      <c r="J315" t="n">
        <v>0</v>
      </c>
      <c r="K315" t="n">
        <v>0</v>
      </c>
      <c r="L315" t="n">
        <v>0</v>
      </c>
      <c r="M315" t="n">
        <v>0</v>
      </c>
      <c r="N315" t="n">
        <v>0</v>
      </c>
      <c r="O315" t="n">
        <v>0</v>
      </c>
      <c r="P315" t="n">
        <v>0</v>
      </c>
      <c r="Q315" t="n">
        <v>0</v>
      </c>
      <c r="R315" s="2" t="inlineStr"/>
    </row>
    <row r="316" ht="15" customHeight="1">
      <c r="A316" t="inlineStr">
        <is>
          <t>A 384-2023</t>
        </is>
      </c>
      <c r="B316" s="1" t="n">
        <v>44929</v>
      </c>
      <c r="C316" s="1" t="n">
        <v>45736</v>
      </c>
      <c r="D316" t="inlineStr">
        <is>
          <t>ÖREBRO LÄN</t>
        </is>
      </c>
      <c r="E316" t="inlineStr">
        <is>
          <t>HALLSBERG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517-2023</t>
        </is>
      </c>
      <c r="B317" s="1" t="n">
        <v>44930</v>
      </c>
      <c r="C317" s="1" t="n">
        <v>45736</v>
      </c>
      <c r="D317" t="inlineStr">
        <is>
          <t>ÖREBRO LÄN</t>
        </is>
      </c>
      <c r="E317" t="inlineStr">
        <is>
          <t>HALLSBERG</t>
        </is>
      </c>
      <c r="G317" t="n">
        <v>1.6</v>
      </c>
      <c r="H317" t="n">
        <v>0</v>
      </c>
      <c r="I317" t="n">
        <v>0</v>
      </c>
      <c r="J317" t="n">
        <v>0</v>
      </c>
      <c r="K317" t="n">
        <v>0</v>
      </c>
      <c r="L317" t="n">
        <v>0</v>
      </c>
      <c r="M317" t="n">
        <v>0</v>
      </c>
      <c r="N317" t="n">
        <v>0</v>
      </c>
      <c r="O317" t="n">
        <v>0</v>
      </c>
      <c r="P317" t="n">
        <v>0</v>
      </c>
      <c r="Q317" t="n">
        <v>0</v>
      </c>
      <c r="R317" s="2" t="inlineStr"/>
    </row>
    <row r="318" ht="15" customHeight="1">
      <c r="A318" t="inlineStr">
        <is>
          <t>A 869-2023</t>
        </is>
      </c>
      <c r="B318" s="1" t="n">
        <v>44931</v>
      </c>
      <c r="C318" s="1" t="n">
        <v>45736</v>
      </c>
      <c r="D318" t="inlineStr">
        <is>
          <t>ÖREBRO LÄN</t>
        </is>
      </c>
      <c r="E318" t="inlineStr">
        <is>
          <t>HALLSBERG</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840-2023</t>
        </is>
      </c>
      <c r="B319" s="1" t="n">
        <v>44931</v>
      </c>
      <c r="C319" s="1" t="n">
        <v>45736</v>
      </c>
      <c r="D319" t="inlineStr">
        <is>
          <t>ÖREBRO LÄN</t>
        </is>
      </c>
      <c r="E319" t="inlineStr">
        <is>
          <t>HALLSBERG</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867-2023</t>
        </is>
      </c>
      <c r="B320" s="1" t="n">
        <v>44931</v>
      </c>
      <c r="C320" s="1" t="n">
        <v>45736</v>
      </c>
      <c r="D320" t="inlineStr">
        <is>
          <t>ÖREBRO LÄN</t>
        </is>
      </c>
      <c r="E320" t="inlineStr">
        <is>
          <t>HALLSBERG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956-2023</t>
        </is>
      </c>
      <c r="B321" s="1" t="n">
        <v>44934</v>
      </c>
      <c r="C321" s="1" t="n">
        <v>45736</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958-2023</t>
        </is>
      </c>
      <c r="B322" s="1" t="n">
        <v>44934</v>
      </c>
      <c r="C322" s="1" t="n">
        <v>45736</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4116-2023</t>
        </is>
      </c>
      <c r="B323" s="1" t="n">
        <v>44952</v>
      </c>
      <c r="C323" s="1" t="n">
        <v>45736</v>
      </c>
      <c r="D323" t="inlineStr">
        <is>
          <t>ÖREBRO LÄN</t>
        </is>
      </c>
      <c r="E323" t="inlineStr">
        <is>
          <t>HALLSBERG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4587-2023</t>
        </is>
      </c>
      <c r="B324" s="1" t="n">
        <v>44956</v>
      </c>
      <c r="C324" s="1" t="n">
        <v>45736</v>
      </c>
      <c r="D324" t="inlineStr">
        <is>
          <t>ÖREBRO LÄN</t>
        </is>
      </c>
      <c r="E324" t="inlineStr">
        <is>
          <t>HALLSBERG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4589-2023</t>
        </is>
      </c>
      <c r="B325" s="1" t="n">
        <v>44956</v>
      </c>
      <c r="C325" s="1" t="n">
        <v>45736</v>
      </c>
      <c r="D325" t="inlineStr">
        <is>
          <t>ÖREBRO LÄN</t>
        </is>
      </c>
      <c r="E325" t="inlineStr">
        <is>
          <t>HALLSBERG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4588-2023</t>
        </is>
      </c>
      <c r="B326" s="1" t="n">
        <v>44956</v>
      </c>
      <c r="C326" s="1" t="n">
        <v>45736</v>
      </c>
      <c r="D326" t="inlineStr">
        <is>
          <t>ÖREBRO LÄN</t>
        </is>
      </c>
      <c r="E326" t="inlineStr">
        <is>
          <t>HALLSBERG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5085-2023</t>
        </is>
      </c>
      <c r="B327" s="1" t="n">
        <v>44958</v>
      </c>
      <c r="C327" s="1" t="n">
        <v>45736</v>
      </c>
      <c r="D327" t="inlineStr">
        <is>
          <t>ÖREBRO LÄN</t>
        </is>
      </c>
      <c r="E327" t="inlineStr">
        <is>
          <t>HALLSBERG</t>
        </is>
      </c>
      <c r="F327" t="inlineStr">
        <is>
          <t>Övriga Aktiebolag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5110-2023</t>
        </is>
      </c>
      <c r="B328" s="1" t="n">
        <v>44958</v>
      </c>
      <c r="C328" s="1" t="n">
        <v>45736</v>
      </c>
      <c r="D328" t="inlineStr">
        <is>
          <t>ÖREBRO LÄN</t>
        </is>
      </c>
      <c r="E328" t="inlineStr">
        <is>
          <t>HALLSBERG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5601-2023</t>
        </is>
      </c>
      <c r="B329" s="1" t="n">
        <v>44960</v>
      </c>
      <c r="C329" s="1" t="n">
        <v>45736</v>
      </c>
      <c r="D329" t="inlineStr">
        <is>
          <t>ÖREBRO LÄN</t>
        </is>
      </c>
      <c r="E329" t="inlineStr">
        <is>
          <t>HALLSBERG</t>
        </is>
      </c>
      <c r="G329" t="n">
        <v>3.5</v>
      </c>
      <c r="H329" t="n">
        <v>0</v>
      </c>
      <c r="I329" t="n">
        <v>0</v>
      </c>
      <c r="J329" t="n">
        <v>0</v>
      </c>
      <c r="K329" t="n">
        <v>0</v>
      </c>
      <c r="L329" t="n">
        <v>0</v>
      </c>
      <c r="M329" t="n">
        <v>0</v>
      </c>
      <c r="N329" t="n">
        <v>0</v>
      </c>
      <c r="O329" t="n">
        <v>0</v>
      </c>
      <c r="P329" t="n">
        <v>0</v>
      </c>
      <c r="Q329" t="n">
        <v>0</v>
      </c>
      <c r="R329" s="2" t="inlineStr"/>
    </row>
    <row r="330" ht="15" customHeight="1">
      <c r="A330" t="inlineStr">
        <is>
          <t>A 5608-2023</t>
        </is>
      </c>
      <c r="B330" s="1" t="n">
        <v>44960</v>
      </c>
      <c r="C330" s="1" t="n">
        <v>45736</v>
      </c>
      <c r="D330" t="inlineStr">
        <is>
          <t>ÖREBRO LÄN</t>
        </is>
      </c>
      <c r="E330" t="inlineStr">
        <is>
          <t>HALLSBERG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5617-2023</t>
        </is>
      </c>
      <c r="B331" s="1" t="n">
        <v>44960</v>
      </c>
      <c r="C331" s="1" t="n">
        <v>45736</v>
      </c>
      <c r="D331" t="inlineStr">
        <is>
          <t>ÖREBRO LÄN</t>
        </is>
      </c>
      <c r="E331" t="inlineStr">
        <is>
          <t>HALLSBERG</t>
        </is>
      </c>
      <c r="G331" t="n">
        <v>1.3</v>
      </c>
      <c r="H331" t="n">
        <v>0</v>
      </c>
      <c r="I331" t="n">
        <v>0</v>
      </c>
      <c r="J331" t="n">
        <v>0</v>
      </c>
      <c r="K331" t="n">
        <v>0</v>
      </c>
      <c r="L331" t="n">
        <v>0</v>
      </c>
      <c r="M331" t="n">
        <v>0</v>
      </c>
      <c r="N331" t="n">
        <v>0</v>
      </c>
      <c r="O331" t="n">
        <v>0</v>
      </c>
      <c r="P331" t="n">
        <v>0</v>
      </c>
      <c r="Q331" t="n">
        <v>0</v>
      </c>
      <c r="R331" s="2" t="inlineStr"/>
    </row>
    <row r="332" ht="15" customHeight="1">
      <c r="A332" t="inlineStr">
        <is>
          <t>A 5604-2023</t>
        </is>
      </c>
      <c r="B332" s="1" t="n">
        <v>44960</v>
      </c>
      <c r="C332" s="1" t="n">
        <v>45736</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6565-2023</t>
        </is>
      </c>
      <c r="B333" s="1" t="n">
        <v>44966</v>
      </c>
      <c r="C333" s="1" t="n">
        <v>45736</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6876-2023</t>
        </is>
      </c>
      <c r="B334" s="1" t="n">
        <v>44967</v>
      </c>
      <c r="C334" s="1" t="n">
        <v>45736</v>
      </c>
      <c r="D334" t="inlineStr">
        <is>
          <t>ÖREBRO LÄN</t>
        </is>
      </c>
      <c r="E334" t="inlineStr">
        <is>
          <t>HALLSBERG</t>
        </is>
      </c>
      <c r="G334" t="n">
        <v>3.3</v>
      </c>
      <c r="H334" t="n">
        <v>0</v>
      </c>
      <c r="I334" t="n">
        <v>0</v>
      </c>
      <c r="J334" t="n">
        <v>0</v>
      </c>
      <c r="K334" t="n">
        <v>0</v>
      </c>
      <c r="L334" t="n">
        <v>0</v>
      </c>
      <c r="M334" t="n">
        <v>0</v>
      </c>
      <c r="N334" t="n">
        <v>0</v>
      </c>
      <c r="O334" t="n">
        <v>0</v>
      </c>
      <c r="P334" t="n">
        <v>0</v>
      </c>
      <c r="Q334" t="n">
        <v>0</v>
      </c>
      <c r="R334" s="2" t="inlineStr"/>
    </row>
    <row r="335" ht="15" customHeight="1">
      <c r="A335" t="inlineStr">
        <is>
          <t>A 7867-2023</t>
        </is>
      </c>
      <c r="B335" s="1" t="n">
        <v>44973</v>
      </c>
      <c r="C335" s="1" t="n">
        <v>45736</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8278-2023</t>
        </is>
      </c>
      <c r="B336" s="1" t="n">
        <v>44974</v>
      </c>
      <c r="C336" s="1" t="n">
        <v>45736</v>
      </c>
      <c r="D336" t="inlineStr">
        <is>
          <t>ÖREBRO LÄN</t>
        </is>
      </c>
      <c r="E336" t="inlineStr">
        <is>
          <t>HALLSBERG</t>
        </is>
      </c>
      <c r="F336" t="inlineStr">
        <is>
          <t>Kommuner</t>
        </is>
      </c>
      <c r="G336" t="n">
        <v>1.6</v>
      </c>
      <c r="H336" t="n">
        <v>0</v>
      </c>
      <c r="I336" t="n">
        <v>0</v>
      </c>
      <c r="J336" t="n">
        <v>0</v>
      </c>
      <c r="K336" t="n">
        <v>0</v>
      </c>
      <c r="L336" t="n">
        <v>0</v>
      </c>
      <c r="M336" t="n">
        <v>0</v>
      </c>
      <c r="N336" t="n">
        <v>0</v>
      </c>
      <c r="O336" t="n">
        <v>0</v>
      </c>
      <c r="P336" t="n">
        <v>0</v>
      </c>
      <c r="Q336" t="n">
        <v>0</v>
      </c>
      <c r="R336" s="2" t="inlineStr"/>
    </row>
    <row r="337" ht="15" customHeight="1">
      <c r="A337" t="inlineStr">
        <is>
          <t>A 8276-2023</t>
        </is>
      </c>
      <c r="B337" s="1" t="n">
        <v>44974</v>
      </c>
      <c r="C337" s="1" t="n">
        <v>45736</v>
      </c>
      <c r="D337" t="inlineStr">
        <is>
          <t>ÖREBRO LÄN</t>
        </is>
      </c>
      <c r="E337" t="inlineStr">
        <is>
          <t>HALLSBERG</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9663-2023</t>
        </is>
      </c>
      <c r="B338" s="1" t="n">
        <v>44978</v>
      </c>
      <c r="C338" s="1" t="n">
        <v>45736</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9073-2023</t>
        </is>
      </c>
      <c r="B339" s="1" t="n">
        <v>44979</v>
      </c>
      <c r="C339" s="1" t="n">
        <v>45736</v>
      </c>
      <c r="D339" t="inlineStr">
        <is>
          <t>ÖREBRO LÄN</t>
        </is>
      </c>
      <c r="E339" t="inlineStr">
        <is>
          <t>HALLSBERG</t>
        </is>
      </c>
      <c r="G339" t="n">
        <v>0.2</v>
      </c>
      <c r="H339" t="n">
        <v>0</v>
      </c>
      <c r="I339" t="n">
        <v>0</v>
      </c>
      <c r="J339" t="n">
        <v>0</v>
      </c>
      <c r="K339" t="n">
        <v>0</v>
      </c>
      <c r="L339" t="n">
        <v>0</v>
      </c>
      <c r="M339" t="n">
        <v>0</v>
      </c>
      <c r="N339" t="n">
        <v>0</v>
      </c>
      <c r="O339" t="n">
        <v>0</v>
      </c>
      <c r="P339" t="n">
        <v>0</v>
      </c>
      <c r="Q339" t="n">
        <v>0</v>
      </c>
      <c r="R339" s="2" t="inlineStr"/>
    </row>
    <row r="340" ht="15" customHeight="1">
      <c r="A340" t="inlineStr">
        <is>
          <t>A 9569-2023</t>
        </is>
      </c>
      <c r="B340" s="1" t="n">
        <v>44982</v>
      </c>
      <c r="C340" s="1" t="n">
        <v>45736</v>
      </c>
      <c r="D340" t="inlineStr">
        <is>
          <t>ÖREBRO LÄN</t>
        </is>
      </c>
      <c r="E340" t="inlineStr">
        <is>
          <t>HALLSBERG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12133-2023</t>
        </is>
      </c>
      <c r="B341" s="1" t="n">
        <v>44998</v>
      </c>
      <c r="C341" s="1" t="n">
        <v>45736</v>
      </c>
      <c r="D341" t="inlineStr">
        <is>
          <t>ÖREBRO LÄN</t>
        </is>
      </c>
      <c r="E341" t="inlineStr">
        <is>
          <t>HALLSBERG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12679-2023</t>
        </is>
      </c>
      <c r="B342" s="1" t="n">
        <v>45000</v>
      </c>
      <c r="C342" s="1" t="n">
        <v>45736</v>
      </c>
      <c r="D342" t="inlineStr">
        <is>
          <t>ÖREBRO LÄN</t>
        </is>
      </c>
      <c r="E342" t="inlineStr">
        <is>
          <t>HALLSBERG</t>
        </is>
      </c>
      <c r="G342" t="n">
        <v>3.8</v>
      </c>
      <c r="H342" t="n">
        <v>0</v>
      </c>
      <c r="I342" t="n">
        <v>0</v>
      </c>
      <c r="J342" t="n">
        <v>0</v>
      </c>
      <c r="K342" t="n">
        <v>0</v>
      </c>
      <c r="L342" t="n">
        <v>0</v>
      </c>
      <c r="M342" t="n">
        <v>0</v>
      </c>
      <c r="N342" t="n">
        <v>0</v>
      </c>
      <c r="O342" t="n">
        <v>0</v>
      </c>
      <c r="P342" t="n">
        <v>0</v>
      </c>
      <c r="Q342" t="n">
        <v>0</v>
      </c>
      <c r="R342" s="2" t="inlineStr"/>
    </row>
    <row r="343" ht="15" customHeight="1">
      <c r="A343" t="inlineStr">
        <is>
          <t>A 13168-2023</t>
        </is>
      </c>
      <c r="B343" s="1" t="n">
        <v>45002</v>
      </c>
      <c r="C343" s="1" t="n">
        <v>45736</v>
      </c>
      <c r="D343" t="inlineStr">
        <is>
          <t>ÖREBRO LÄN</t>
        </is>
      </c>
      <c r="E343" t="inlineStr">
        <is>
          <t>HALLSBERG</t>
        </is>
      </c>
      <c r="F343" t="inlineStr">
        <is>
          <t>Allmännings- och besparingsskogar</t>
        </is>
      </c>
      <c r="G343" t="n">
        <v>2.2</v>
      </c>
      <c r="H343" t="n">
        <v>0</v>
      </c>
      <c r="I343" t="n">
        <v>0</v>
      </c>
      <c r="J343" t="n">
        <v>0</v>
      </c>
      <c r="K343" t="n">
        <v>0</v>
      </c>
      <c r="L343" t="n">
        <v>0</v>
      </c>
      <c r="M343" t="n">
        <v>0</v>
      </c>
      <c r="N343" t="n">
        <v>0</v>
      </c>
      <c r="O343" t="n">
        <v>0</v>
      </c>
      <c r="P343" t="n">
        <v>0</v>
      </c>
      <c r="Q343" t="n">
        <v>0</v>
      </c>
      <c r="R343" s="2" t="inlineStr"/>
    </row>
    <row r="344" ht="15" customHeight="1">
      <c r="A344" t="inlineStr">
        <is>
          <t>A 13190-2023</t>
        </is>
      </c>
      <c r="B344" s="1" t="n">
        <v>45002</v>
      </c>
      <c r="C344" s="1" t="n">
        <v>45736</v>
      </c>
      <c r="D344" t="inlineStr">
        <is>
          <t>ÖREBRO LÄN</t>
        </is>
      </c>
      <c r="E344" t="inlineStr">
        <is>
          <t>HALLSBERG</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13203-2023</t>
        </is>
      </c>
      <c r="B345" s="1" t="n">
        <v>45002</v>
      </c>
      <c r="C345" s="1" t="n">
        <v>45736</v>
      </c>
      <c r="D345" t="inlineStr">
        <is>
          <t>ÖREBRO LÄN</t>
        </is>
      </c>
      <c r="E345" t="inlineStr">
        <is>
          <t>HALLSBERG</t>
        </is>
      </c>
      <c r="F345" t="inlineStr">
        <is>
          <t>Allmännings- och besparingsskogar</t>
        </is>
      </c>
      <c r="G345" t="n">
        <v>3.3</v>
      </c>
      <c r="H345" t="n">
        <v>0</v>
      </c>
      <c r="I345" t="n">
        <v>0</v>
      </c>
      <c r="J345" t="n">
        <v>0</v>
      </c>
      <c r="K345" t="n">
        <v>0</v>
      </c>
      <c r="L345" t="n">
        <v>0</v>
      </c>
      <c r="M345" t="n">
        <v>0</v>
      </c>
      <c r="N345" t="n">
        <v>0</v>
      </c>
      <c r="O345" t="n">
        <v>0</v>
      </c>
      <c r="P345" t="n">
        <v>0</v>
      </c>
      <c r="Q345" t="n">
        <v>0</v>
      </c>
      <c r="R345" s="2" t="inlineStr"/>
    </row>
    <row r="346" ht="15" customHeight="1">
      <c r="A346" t="inlineStr">
        <is>
          <t>A 13851-2023</t>
        </is>
      </c>
      <c r="B346" s="1" t="n">
        <v>45007</v>
      </c>
      <c r="C346" s="1" t="n">
        <v>45736</v>
      </c>
      <c r="D346" t="inlineStr">
        <is>
          <t>ÖREBRO LÄN</t>
        </is>
      </c>
      <c r="E346" t="inlineStr">
        <is>
          <t>HALLSBERG</t>
        </is>
      </c>
      <c r="G346" t="n">
        <v>4.7</v>
      </c>
      <c r="H346" t="n">
        <v>0</v>
      </c>
      <c r="I346" t="n">
        <v>0</v>
      </c>
      <c r="J346" t="n">
        <v>0</v>
      </c>
      <c r="K346" t="n">
        <v>0</v>
      </c>
      <c r="L346" t="n">
        <v>0</v>
      </c>
      <c r="M346" t="n">
        <v>0</v>
      </c>
      <c r="N346" t="n">
        <v>0</v>
      </c>
      <c r="O346" t="n">
        <v>0</v>
      </c>
      <c r="P346" t="n">
        <v>0</v>
      </c>
      <c r="Q346" t="n">
        <v>0</v>
      </c>
      <c r="R346" s="2" t="inlineStr"/>
    </row>
    <row r="347" ht="15" customHeight="1">
      <c r="A347" t="inlineStr">
        <is>
          <t>A 14288-2023</t>
        </is>
      </c>
      <c r="B347" s="1" t="n">
        <v>45010</v>
      </c>
      <c r="C347" s="1" t="n">
        <v>45736</v>
      </c>
      <c r="D347" t="inlineStr">
        <is>
          <t>ÖREBRO LÄN</t>
        </is>
      </c>
      <c r="E347" t="inlineStr">
        <is>
          <t>HALLSBERG</t>
        </is>
      </c>
      <c r="G347" t="n">
        <v>2.3</v>
      </c>
      <c r="H347" t="n">
        <v>0</v>
      </c>
      <c r="I347" t="n">
        <v>0</v>
      </c>
      <c r="J347" t="n">
        <v>0</v>
      </c>
      <c r="K347" t="n">
        <v>0</v>
      </c>
      <c r="L347" t="n">
        <v>0</v>
      </c>
      <c r="M347" t="n">
        <v>0</v>
      </c>
      <c r="N347" t="n">
        <v>0</v>
      </c>
      <c r="O347" t="n">
        <v>0</v>
      </c>
      <c r="P347" t="n">
        <v>0</v>
      </c>
      <c r="Q347" t="n">
        <v>0</v>
      </c>
      <c r="R347" s="2" t="inlineStr"/>
    </row>
    <row r="348" ht="15" customHeight="1">
      <c r="A348" t="inlineStr">
        <is>
          <t>A 14410-2023</t>
        </is>
      </c>
      <c r="B348" s="1" t="n">
        <v>45012</v>
      </c>
      <c r="C348" s="1" t="n">
        <v>45736</v>
      </c>
      <c r="D348" t="inlineStr">
        <is>
          <t>ÖREBRO LÄN</t>
        </is>
      </c>
      <c r="E348" t="inlineStr">
        <is>
          <t>HALLSBERG</t>
        </is>
      </c>
      <c r="G348" t="n">
        <v>5.7</v>
      </c>
      <c r="H348" t="n">
        <v>0</v>
      </c>
      <c r="I348" t="n">
        <v>0</v>
      </c>
      <c r="J348" t="n">
        <v>0</v>
      </c>
      <c r="K348" t="n">
        <v>0</v>
      </c>
      <c r="L348" t="n">
        <v>0</v>
      </c>
      <c r="M348" t="n">
        <v>0</v>
      </c>
      <c r="N348" t="n">
        <v>0</v>
      </c>
      <c r="O348" t="n">
        <v>0</v>
      </c>
      <c r="P348" t="n">
        <v>0</v>
      </c>
      <c r="Q348" t="n">
        <v>0</v>
      </c>
      <c r="R348" s="2" t="inlineStr"/>
    </row>
    <row r="349" ht="15" customHeight="1">
      <c r="A349" t="inlineStr">
        <is>
          <t>A 14451-2023</t>
        </is>
      </c>
      <c r="B349" s="1" t="n">
        <v>45012</v>
      </c>
      <c r="C349" s="1" t="n">
        <v>45736</v>
      </c>
      <c r="D349" t="inlineStr">
        <is>
          <t>ÖREBRO LÄN</t>
        </is>
      </c>
      <c r="E349" t="inlineStr">
        <is>
          <t>HALLSBERG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14456-2023</t>
        </is>
      </c>
      <c r="B350" s="1" t="n">
        <v>45012</v>
      </c>
      <c r="C350" s="1" t="n">
        <v>45736</v>
      </c>
      <c r="D350" t="inlineStr">
        <is>
          <t>ÖREBRO LÄN</t>
        </is>
      </c>
      <c r="E350" t="inlineStr">
        <is>
          <t>HALLSBERG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17017-2023</t>
        </is>
      </c>
      <c r="B351" s="1" t="n">
        <v>45034</v>
      </c>
      <c r="C351" s="1" t="n">
        <v>45736</v>
      </c>
      <c r="D351" t="inlineStr">
        <is>
          <t>ÖREBRO LÄN</t>
        </is>
      </c>
      <c r="E351" t="inlineStr">
        <is>
          <t>HALLSBERG</t>
        </is>
      </c>
      <c r="G351" t="n">
        <v>1.3</v>
      </c>
      <c r="H351" t="n">
        <v>0</v>
      </c>
      <c r="I351" t="n">
        <v>0</v>
      </c>
      <c r="J351" t="n">
        <v>0</v>
      </c>
      <c r="K351" t="n">
        <v>0</v>
      </c>
      <c r="L351" t="n">
        <v>0</v>
      </c>
      <c r="M351" t="n">
        <v>0</v>
      </c>
      <c r="N351" t="n">
        <v>0</v>
      </c>
      <c r="O351" t="n">
        <v>0</v>
      </c>
      <c r="P351" t="n">
        <v>0</v>
      </c>
      <c r="Q351" t="n">
        <v>0</v>
      </c>
      <c r="R351" s="2" t="inlineStr"/>
    </row>
    <row r="352" ht="15" customHeight="1">
      <c r="A352" t="inlineStr">
        <is>
          <t>A 17014-2023</t>
        </is>
      </c>
      <c r="B352" s="1" t="n">
        <v>45034</v>
      </c>
      <c r="C352" s="1" t="n">
        <v>45736</v>
      </c>
      <c r="D352" t="inlineStr">
        <is>
          <t>ÖREBRO LÄN</t>
        </is>
      </c>
      <c r="E352" t="inlineStr">
        <is>
          <t>HALLSBERG</t>
        </is>
      </c>
      <c r="G352" t="n">
        <v>3.4</v>
      </c>
      <c r="H352" t="n">
        <v>0</v>
      </c>
      <c r="I352" t="n">
        <v>0</v>
      </c>
      <c r="J352" t="n">
        <v>0</v>
      </c>
      <c r="K352" t="n">
        <v>0</v>
      </c>
      <c r="L352" t="n">
        <v>0</v>
      </c>
      <c r="M352" t="n">
        <v>0</v>
      </c>
      <c r="N352" t="n">
        <v>0</v>
      </c>
      <c r="O352" t="n">
        <v>0</v>
      </c>
      <c r="P352" t="n">
        <v>0</v>
      </c>
      <c r="Q352" t="n">
        <v>0</v>
      </c>
      <c r="R352" s="2" t="inlineStr"/>
    </row>
    <row r="353" ht="15" customHeight="1">
      <c r="A353" t="inlineStr">
        <is>
          <t>A 17020-2023</t>
        </is>
      </c>
      <c r="B353" s="1" t="n">
        <v>45034</v>
      </c>
      <c r="C353" s="1" t="n">
        <v>45736</v>
      </c>
      <c r="D353" t="inlineStr">
        <is>
          <t>ÖREBRO LÄN</t>
        </is>
      </c>
      <c r="E353" t="inlineStr">
        <is>
          <t>HALLSBERG</t>
        </is>
      </c>
      <c r="G353" t="n">
        <v>2</v>
      </c>
      <c r="H353" t="n">
        <v>0</v>
      </c>
      <c r="I353" t="n">
        <v>0</v>
      </c>
      <c r="J353" t="n">
        <v>0</v>
      </c>
      <c r="K353" t="n">
        <v>0</v>
      </c>
      <c r="L353" t="n">
        <v>0</v>
      </c>
      <c r="M353" t="n">
        <v>0</v>
      </c>
      <c r="N353" t="n">
        <v>0</v>
      </c>
      <c r="O353" t="n">
        <v>0</v>
      </c>
      <c r="P353" t="n">
        <v>0</v>
      </c>
      <c r="Q353" t="n">
        <v>0</v>
      </c>
      <c r="R353" s="2" t="inlineStr"/>
    </row>
    <row r="354" ht="15" customHeight="1">
      <c r="A354" t="inlineStr">
        <is>
          <t>A 17016-2023</t>
        </is>
      </c>
      <c r="B354" s="1" t="n">
        <v>45034</v>
      </c>
      <c r="C354" s="1" t="n">
        <v>45736</v>
      </c>
      <c r="D354" t="inlineStr">
        <is>
          <t>ÖREBRO LÄN</t>
        </is>
      </c>
      <c r="E354" t="inlineStr">
        <is>
          <t>HALLSBERG</t>
        </is>
      </c>
      <c r="G354" t="n">
        <v>0.7</v>
      </c>
      <c r="H354" t="n">
        <v>0</v>
      </c>
      <c r="I354" t="n">
        <v>0</v>
      </c>
      <c r="J354" t="n">
        <v>0</v>
      </c>
      <c r="K354" t="n">
        <v>0</v>
      </c>
      <c r="L354" t="n">
        <v>0</v>
      </c>
      <c r="M354" t="n">
        <v>0</v>
      </c>
      <c r="N354" t="n">
        <v>0</v>
      </c>
      <c r="O354" t="n">
        <v>0</v>
      </c>
      <c r="P354" t="n">
        <v>0</v>
      </c>
      <c r="Q354" t="n">
        <v>0</v>
      </c>
      <c r="R354" s="2" t="inlineStr"/>
    </row>
    <row r="355" ht="15" customHeight="1">
      <c r="A355" t="inlineStr">
        <is>
          <t>A 17301-2023</t>
        </is>
      </c>
      <c r="B355" s="1" t="n">
        <v>45035</v>
      </c>
      <c r="C355" s="1" t="n">
        <v>45736</v>
      </c>
      <c r="D355" t="inlineStr">
        <is>
          <t>ÖREBRO LÄN</t>
        </is>
      </c>
      <c r="E355" t="inlineStr">
        <is>
          <t>HALLSBERG</t>
        </is>
      </c>
      <c r="G355" t="n">
        <v>1.8</v>
      </c>
      <c r="H355" t="n">
        <v>0</v>
      </c>
      <c r="I355" t="n">
        <v>0</v>
      </c>
      <c r="J355" t="n">
        <v>0</v>
      </c>
      <c r="K355" t="n">
        <v>0</v>
      </c>
      <c r="L355" t="n">
        <v>0</v>
      </c>
      <c r="M355" t="n">
        <v>0</v>
      </c>
      <c r="N355" t="n">
        <v>0</v>
      </c>
      <c r="O355" t="n">
        <v>0</v>
      </c>
      <c r="P355" t="n">
        <v>0</v>
      </c>
      <c r="Q355" t="n">
        <v>0</v>
      </c>
      <c r="R355" s="2" t="inlineStr"/>
    </row>
    <row r="356" ht="15" customHeight="1">
      <c r="A356" t="inlineStr">
        <is>
          <t>A 18146-2023</t>
        </is>
      </c>
      <c r="B356" s="1" t="n">
        <v>45040</v>
      </c>
      <c r="C356" s="1" t="n">
        <v>45736</v>
      </c>
      <c r="D356" t="inlineStr">
        <is>
          <t>ÖREBRO LÄN</t>
        </is>
      </c>
      <c r="E356" t="inlineStr">
        <is>
          <t>HALLSBERG</t>
        </is>
      </c>
      <c r="G356" t="n">
        <v>31.3</v>
      </c>
      <c r="H356" t="n">
        <v>0</v>
      </c>
      <c r="I356" t="n">
        <v>0</v>
      </c>
      <c r="J356" t="n">
        <v>0</v>
      </c>
      <c r="K356" t="n">
        <v>0</v>
      </c>
      <c r="L356" t="n">
        <v>0</v>
      </c>
      <c r="M356" t="n">
        <v>0</v>
      </c>
      <c r="N356" t="n">
        <v>0</v>
      </c>
      <c r="O356" t="n">
        <v>0</v>
      </c>
      <c r="P356" t="n">
        <v>0</v>
      </c>
      <c r="Q356" t="n">
        <v>0</v>
      </c>
      <c r="R356" s="2" t="inlineStr"/>
    </row>
    <row r="357" ht="15" customHeight="1">
      <c r="A357" t="inlineStr">
        <is>
          <t>A 19408-2023</t>
        </is>
      </c>
      <c r="B357" s="1" t="n">
        <v>45049</v>
      </c>
      <c r="C357" s="1" t="n">
        <v>45736</v>
      </c>
      <c r="D357" t="inlineStr">
        <is>
          <t>ÖREBRO LÄN</t>
        </is>
      </c>
      <c r="E357" t="inlineStr">
        <is>
          <t>HALLSBERG</t>
        </is>
      </c>
      <c r="G357" t="n">
        <v>5.9</v>
      </c>
      <c r="H357" t="n">
        <v>0</v>
      </c>
      <c r="I357" t="n">
        <v>0</v>
      </c>
      <c r="J357" t="n">
        <v>0</v>
      </c>
      <c r="K357" t="n">
        <v>0</v>
      </c>
      <c r="L357" t="n">
        <v>0</v>
      </c>
      <c r="M357" t="n">
        <v>0</v>
      </c>
      <c r="N357" t="n">
        <v>0</v>
      </c>
      <c r="O357" t="n">
        <v>0</v>
      </c>
      <c r="P357" t="n">
        <v>0</v>
      </c>
      <c r="Q357" t="n">
        <v>0</v>
      </c>
      <c r="R357" s="2" t="inlineStr"/>
    </row>
    <row r="358" ht="15" customHeight="1">
      <c r="A358" t="inlineStr">
        <is>
          <t>A 23011-2023</t>
        </is>
      </c>
      <c r="B358" s="1" t="n">
        <v>45073</v>
      </c>
      <c r="C358" s="1" t="n">
        <v>45736</v>
      </c>
      <c r="D358" t="inlineStr">
        <is>
          <t>ÖREBRO LÄN</t>
        </is>
      </c>
      <c r="E358" t="inlineStr">
        <is>
          <t>HALLSBERG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23012-2023</t>
        </is>
      </c>
      <c r="B359" s="1" t="n">
        <v>45073</v>
      </c>
      <c r="C359" s="1" t="n">
        <v>45736</v>
      </c>
      <c r="D359" t="inlineStr">
        <is>
          <t>ÖREBRO LÄN</t>
        </is>
      </c>
      <c r="E359" t="inlineStr">
        <is>
          <t>HALLSBERG</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23013-2023</t>
        </is>
      </c>
      <c r="B360" s="1" t="n">
        <v>45073</v>
      </c>
      <c r="C360" s="1" t="n">
        <v>45736</v>
      </c>
      <c r="D360" t="inlineStr">
        <is>
          <t>ÖREBRO LÄN</t>
        </is>
      </c>
      <c r="E360" t="inlineStr">
        <is>
          <t>HALLSBERG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24416-2023</t>
        </is>
      </c>
      <c r="B361" s="1" t="n">
        <v>45082</v>
      </c>
      <c r="C361" s="1" t="n">
        <v>45736</v>
      </c>
      <c r="D361" t="inlineStr">
        <is>
          <t>ÖREBRO LÄN</t>
        </is>
      </c>
      <c r="E361" t="inlineStr">
        <is>
          <t>HALLSBERG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24627-2023</t>
        </is>
      </c>
      <c r="B362" s="1" t="n">
        <v>45084</v>
      </c>
      <c r="C362" s="1" t="n">
        <v>45736</v>
      </c>
      <c r="D362" t="inlineStr">
        <is>
          <t>ÖREBRO LÄN</t>
        </is>
      </c>
      <c r="E362" t="inlineStr">
        <is>
          <t>HALLSBERG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24624-2023</t>
        </is>
      </c>
      <c r="B363" s="1" t="n">
        <v>45084</v>
      </c>
      <c r="C363" s="1" t="n">
        <v>45736</v>
      </c>
      <c r="D363" t="inlineStr">
        <is>
          <t>ÖREBRO LÄN</t>
        </is>
      </c>
      <c r="E363" t="inlineStr">
        <is>
          <t>HALLSBERG</t>
        </is>
      </c>
      <c r="G363" t="n">
        <v>0.5</v>
      </c>
      <c r="H363" t="n">
        <v>0</v>
      </c>
      <c r="I363" t="n">
        <v>0</v>
      </c>
      <c r="J363" t="n">
        <v>0</v>
      </c>
      <c r="K363" t="n">
        <v>0</v>
      </c>
      <c r="L363" t="n">
        <v>0</v>
      </c>
      <c r="M363" t="n">
        <v>0</v>
      </c>
      <c r="N363" t="n">
        <v>0</v>
      </c>
      <c r="O363" t="n">
        <v>0</v>
      </c>
      <c r="P363" t="n">
        <v>0</v>
      </c>
      <c r="Q363" t="n">
        <v>0</v>
      </c>
      <c r="R363" s="2" t="inlineStr"/>
    </row>
    <row r="364" ht="15" customHeight="1">
      <c r="A364" t="inlineStr">
        <is>
          <t>A 24628-2023</t>
        </is>
      </c>
      <c r="B364" s="1" t="n">
        <v>45084</v>
      </c>
      <c r="C364" s="1" t="n">
        <v>45736</v>
      </c>
      <c r="D364" t="inlineStr">
        <is>
          <t>ÖREBRO LÄN</t>
        </is>
      </c>
      <c r="E364" t="inlineStr">
        <is>
          <t>HALLSBERG</t>
        </is>
      </c>
      <c r="G364" t="n">
        <v>6</v>
      </c>
      <c r="H364" t="n">
        <v>0</v>
      </c>
      <c r="I364" t="n">
        <v>0</v>
      </c>
      <c r="J364" t="n">
        <v>0</v>
      </c>
      <c r="K364" t="n">
        <v>0</v>
      </c>
      <c r="L364" t="n">
        <v>0</v>
      </c>
      <c r="M364" t="n">
        <v>0</v>
      </c>
      <c r="N364" t="n">
        <v>0</v>
      </c>
      <c r="O364" t="n">
        <v>0</v>
      </c>
      <c r="P364" t="n">
        <v>0</v>
      </c>
      <c r="Q364" t="n">
        <v>0</v>
      </c>
      <c r="R364" s="2" t="inlineStr"/>
    </row>
    <row r="365" ht="15" customHeight="1">
      <c r="A365" t="inlineStr">
        <is>
          <t>A 24629-2023</t>
        </is>
      </c>
      <c r="B365" s="1" t="n">
        <v>45084</v>
      </c>
      <c r="C365" s="1" t="n">
        <v>45736</v>
      </c>
      <c r="D365" t="inlineStr">
        <is>
          <t>ÖREBRO LÄN</t>
        </is>
      </c>
      <c r="E365" t="inlineStr">
        <is>
          <t>HALLSBERG</t>
        </is>
      </c>
      <c r="G365" t="n">
        <v>2</v>
      </c>
      <c r="H365" t="n">
        <v>0</v>
      </c>
      <c r="I365" t="n">
        <v>0</v>
      </c>
      <c r="J365" t="n">
        <v>0</v>
      </c>
      <c r="K365" t="n">
        <v>0</v>
      </c>
      <c r="L365" t="n">
        <v>0</v>
      </c>
      <c r="M365" t="n">
        <v>0</v>
      </c>
      <c r="N365" t="n">
        <v>0</v>
      </c>
      <c r="O365" t="n">
        <v>0</v>
      </c>
      <c r="P365" t="n">
        <v>0</v>
      </c>
      <c r="Q365" t="n">
        <v>0</v>
      </c>
      <c r="R365" s="2" t="inlineStr"/>
    </row>
    <row r="366" ht="15" customHeight="1">
      <c r="A366" t="inlineStr">
        <is>
          <t>A 24801-2023</t>
        </is>
      </c>
      <c r="B366" s="1" t="n">
        <v>45084</v>
      </c>
      <c r="C366" s="1" t="n">
        <v>45736</v>
      </c>
      <c r="D366" t="inlineStr">
        <is>
          <t>ÖREBRO LÄN</t>
        </is>
      </c>
      <c r="E366" t="inlineStr">
        <is>
          <t>HALLSBERG</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27110-2023</t>
        </is>
      </c>
      <c r="B367" s="1" t="n">
        <v>45096</v>
      </c>
      <c r="C367" s="1" t="n">
        <v>45736</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27765-2023</t>
        </is>
      </c>
      <c r="B368" s="1" t="n">
        <v>45098</v>
      </c>
      <c r="C368" s="1" t="n">
        <v>45736</v>
      </c>
      <c r="D368" t="inlineStr">
        <is>
          <t>ÖREBRO LÄN</t>
        </is>
      </c>
      <c r="E368" t="inlineStr">
        <is>
          <t>HALLSBERG</t>
        </is>
      </c>
      <c r="G368" t="n">
        <v>3.8</v>
      </c>
      <c r="H368" t="n">
        <v>0</v>
      </c>
      <c r="I368" t="n">
        <v>0</v>
      </c>
      <c r="J368" t="n">
        <v>0</v>
      </c>
      <c r="K368" t="n">
        <v>0</v>
      </c>
      <c r="L368" t="n">
        <v>0</v>
      </c>
      <c r="M368" t="n">
        <v>0</v>
      </c>
      <c r="N368" t="n">
        <v>0</v>
      </c>
      <c r="O368" t="n">
        <v>0</v>
      </c>
      <c r="P368" t="n">
        <v>0</v>
      </c>
      <c r="Q368" t="n">
        <v>0</v>
      </c>
      <c r="R368" s="2" t="inlineStr"/>
    </row>
    <row r="369" ht="15" customHeight="1">
      <c r="A369" t="inlineStr">
        <is>
          <t>A 29735-2023</t>
        </is>
      </c>
      <c r="B369" s="1" t="n">
        <v>45098</v>
      </c>
      <c r="C369" s="1" t="n">
        <v>45736</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28526-2023</t>
        </is>
      </c>
      <c r="B370" s="1" t="n">
        <v>45103</v>
      </c>
      <c r="C370" s="1" t="n">
        <v>45736</v>
      </c>
      <c r="D370" t="inlineStr">
        <is>
          <t>ÖREBRO LÄN</t>
        </is>
      </c>
      <c r="E370" t="inlineStr">
        <is>
          <t>HALLSBERG</t>
        </is>
      </c>
      <c r="G370" t="n">
        <v>5.4</v>
      </c>
      <c r="H370" t="n">
        <v>0</v>
      </c>
      <c r="I370" t="n">
        <v>0</v>
      </c>
      <c r="J370" t="n">
        <v>0</v>
      </c>
      <c r="K370" t="n">
        <v>0</v>
      </c>
      <c r="L370" t="n">
        <v>0</v>
      </c>
      <c r="M370" t="n">
        <v>0</v>
      </c>
      <c r="N370" t="n">
        <v>0</v>
      </c>
      <c r="O370" t="n">
        <v>0</v>
      </c>
      <c r="P370" t="n">
        <v>0</v>
      </c>
      <c r="Q370" t="n">
        <v>0</v>
      </c>
      <c r="R370" s="2" t="inlineStr"/>
    </row>
    <row r="371" ht="15" customHeight="1">
      <c r="A371" t="inlineStr">
        <is>
          <t>A 29304-2023</t>
        </is>
      </c>
      <c r="B371" s="1" t="n">
        <v>45105</v>
      </c>
      <c r="C371" s="1" t="n">
        <v>45736</v>
      </c>
      <c r="D371" t="inlineStr">
        <is>
          <t>ÖREBRO LÄN</t>
        </is>
      </c>
      <c r="E371" t="inlineStr">
        <is>
          <t>HALLSBERG</t>
        </is>
      </c>
      <c r="G371" t="n">
        <v>2.5</v>
      </c>
      <c r="H371" t="n">
        <v>0</v>
      </c>
      <c r="I371" t="n">
        <v>0</v>
      </c>
      <c r="J371" t="n">
        <v>0</v>
      </c>
      <c r="K371" t="n">
        <v>0</v>
      </c>
      <c r="L371" t="n">
        <v>0</v>
      </c>
      <c r="M371" t="n">
        <v>0</v>
      </c>
      <c r="N371" t="n">
        <v>0</v>
      </c>
      <c r="O371" t="n">
        <v>0</v>
      </c>
      <c r="P371" t="n">
        <v>0</v>
      </c>
      <c r="Q371" t="n">
        <v>0</v>
      </c>
      <c r="R371" s="2" t="inlineStr"/>
    </row>
    <row r="372" ht="15" customHeight="1">
      <c r="A372" t="inlineStr">
        <is>
          <t>A 30889-2023</t>
        </is>
      </c>
      <c r="B372" s="1" t="n">
        <v>45113</v>
      </c>
      <c r="C372" s="1" t="n">
        <v>45736</v>
      </c>
      <c r="D372" t="inlineStr">
        <is>
          <t>ÖREBRO LÄN</t>
        </is>
      </c>
      <c r="E372" t="inlineStr">
        <is>
          <t>HALLSBERG</t>
        </is>
      </c>
      <c r="G372" t="n">
        <v>3.1</v>
      </c>
      <c r="H372" t="n">
        <v>0</v>
      </c>
      <c r="I372" t="n">
        <v>0</v>
      </c>
      <c r="J372" t="n">
        <v>0</v>
      </c>
      <c r="K372" t="n">
        <v>0</v>
      </c>
      <c r="L372" t="n">
        <v>0</v>
      </c>
      <c r="M372" t="n">
        <v>0</v>
      </c>
      <c r="N372" t="n">
        <v>0</v>
      </c>
      <c r="O372" t="n">
        <v>0</v>
      </c>
      <c r="P372" t="n">
        <v>0</v>
      </c>
      <c r="Q372" t="n">
        <v>0</v>
      </c>
      <c r="R372" s="2" t="inlineStr"/>
    </row>
    <row r="373" ht="15" customHeight="1">
      <c r="A373" t="inlineStr">
        <is>
          <t>A 31290-2023</t>
        </is>
      </c>
      <c r="B373" s="1" t="n">
        <v>45114</v>
      </c>
      <c r="C373" s="1" t="n">
        <v>45736</v>
      </c>
      <c r="D373" t="inlineStr">
        <is>
          <t>ÖREBRO LÄN</t>
        </is>
      </c>
      <c r="E373" t="inlineStr">
        <is>
          <t>HALLSBERG</t>
        </is>
      </c>
      <c r="G373" t="n">
        <v>1.3</v>
      </c>
      <c r="H373" t="n">
        <v>0</v>
      </c>
      <c r="I373" t="n">
        <v>0</v>
      </c>
      <c r="J373" t="n">
        <v>0</v>
      </c>
      <c r="K373" t="n">
        <v>0</v>
      </c>
      <c r="L373" t="n">
        <v>0</v>
      </c>
      <c r="M373" t="n">
        <v>0</v>
      </c>
      <c r="N373" t="n">
        <v>0</v>
      </c>
      <c r="O373" t="n">
        <v>0</v>
      </c>
      <c r="P373" t="n">
        <v>0</v>
      </c>
      <c r="Q373" t="n">
        <v>0</v>
      </c>
      <c r="R373" s="2" t="inlineStr"/>
    </row>
    <row r="374" ht="15" customHeight="1">
      <c r="A374" t="inlineStr">
        <is>
          <t>A 32456-2023</t>
        </is>
      </c>
      <c r="B374" s="1" t="n">
        <v>45120</v>
      </c>
      <c r="C374" s="1" t="n">
        <v>45736</v>
      </c>
      <c r="D374" t="inlineStr">
        <is>
          <t>ÖREBRO LÄN</t>
        </is>
      </c>
      <c r="E374" t="inlineStr">
        <is>
          <t>HALLSBERG</t>
        </is>
      </c>
      <c r="F374" t="inlineStr">
        <is>
          <t>Allmännings- och besparingsskogar</t>
        </is>
      </c>
      <c r="G374" t="n">
        <v>10.8</v>
      </c>
      <c r="H374" t="n">
        <v>0</v>
      </c>
      <c r="I374" t="n">
        <v>0</v>
      </c>
      <c r="J374" t="n">
        <v>0</v>
      </c>
      <c r="K374" t="n">
        <v>0</v>
      </c>
      <c r="L374" t="n">
        <v>0</v>
      </c>
      <c r="M374" t="n">
        <v>0</v>
      </c>
      <c r="N374" t="n">
        <v>0</v>
      </c>
      <c r="O374" t="n">
        <v>0</v>
      </c>
      <c r="P374" t="n">
        <v>0</v>
      </c>
      <c r="Q374" t="n">
        <v>0</v>
      </c>
      <c r="R374" s="2" t="inlineStr"/>
    </row>
    <row r="375" ht="15" customHeight="1">
      <c r="A375" t="inlineStr">
        <is>
          <t>A 33093-2023</t>
        </is>
      </c>
      <c r="B375" s="1" t="n">
        <v>45126</v>
      </c>
      <c r="C375" s="1" t="n">
        <v>45736</v>
      </c>
      <c r="D375" t="inlineStr">
        <is>
          <t>ÖREBRO LÄN</t>
        </is>
      </c>
      <c r="E375" t="inlineStr">
        <is>
          <t>HALLSBERG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33097-2023</t>
        </is>
      </c>
      <c r="B376" s="1" t="n">
        <v>45126</v>
      </c>
      <c r="C376" s="1" t="n">
        <v>45736</v>
      </c>
      <c r="D376" t="inlineStr">
        <is>
          <t>ÖREBRO LÄN</t>
        </is>
      </c>
      <c r="E376" t="inlineStr">
        <is>
          <t>HALLSBERG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34608-2023</t>
        </is>
      </c>
      <c r="B377" s="1" t="n">
        <v>45140</v>
      </c>
      <c r="C377" s="1" t="n">
        <v>45736</v>
      </c>
      <c r="D377" t="inlineStr">
        <is>
          <t>ÖREBRO LÄN</t>
        </is>
      </c>
      <c r="E377" t="inlineStr">
        <is>
          <t>HALLSBERG</t>
        </is>
      </c>
      <c r="G377" t="n">
        <v>10.5</v>
      </c>
      <c r="H377" t="n">
        <v>0</v>
      </c>
      <c r="I377" t="n">
        <v>0</v>
      </c>
      <c r="J377" t="n">
        <v>0</v>
      </c>
      <c r="K377" t="n">
        <v>0</v>
      </c>
      <c r="L377" t="n">
        <v>0</v>
      </c>
      <c r="M377" t="n">
        <v>0</v>
      </c>
      <c r="N377" t="n">
        <v>0</v>
      </c>
      <c r="O377" t="n">
        <v>0</v>
      </c>
      <c r="P377" t="n">
        <v>0</v>
      </c>
      <c r="Q377" t="n">
        <v>0</v>
      </c>
      <c r="R377" s="2" t="inlineStr"/>
    </row>
    <row r="378" ht="15" customHeight="1">
      <c r="A378" t="inlineStr">
        <is>
          <t>A 35722-2023</t>
        </is>
      </c>
      <c r="B378" s="1" t="n">
        <v>45147</v>
      </c>
      <c r="C378" s="1" t="n">
        <v>45736</v>
      </c>
      <c r="D378" t="inlineStr">
        <is>
          <t>ÖREBRO LÄN</t>
        </is>
      </c>
      <c r="E378" t="inlineStr">
        <is>
          <t>HALLSBERG</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36081-2023</t>
        </is>
      </c>
      <c r="B379" s="1" t="n">
        <v>45149</v>
      </c>
      <c r="C379" s="1" t="n">
        <v>45736</v>
      </c>
      <c r="D379" t="inlineStr">
        <is>
          <t>ÖREBRO LÄN</t>
        </is>
      </c>
      <c r="E379" t="inlineStr">
        <is>
          <t>HALLSBERG</t>
        </is>
      </c>
      <c r="G379" t="n">
        <v>3.5</v>
      </c>
      <c r="H379" t="n">
        <v>0</v>
      </c>
      <c r="I379" t="n">
        <v>0</v>
      </c>
      <c r="J379" t="n">
        <v>0</v>
      </c>
      <c r="K379" t="n">
        <v>0</v>
      </c>
      <c r="L379" t="n">
        <v>0</v>
      </c>
      <c r="M379" t="n">
        <v>0</v>
      </c>
      <c r="N379" t="n">
        <v>0</v>
      </c>
      <c r="O379" t="n">
        <v>0</v>
      </c>
      <c r="P379" t="n">
        <v>0</v>
      </c>
      <c r="Q379" t="n">
        <v>0</v>
      </c>
      <c r="R379" s="2" t="inlineStr"/>
    </row>
    <row r="380" ht="15" customHeight="1">
      <c r="A380" t="inlineStr">
        <is>
          <t>A 37451-2023</t>
        </is>
      </c>
      <c r="B380" s="1" t="n">
        <v>45156</v>
      </c>
      <c r="C380" s="1" t="n">
        <v>45736</v>
      </c>
      <c r="D380" t="inlineStr">
        <is>
          <t>ÖREBRO LÄN</t>
        </is>
      </c>
      <c r="E380" t="inlineStr">
        <is>
          <t>HALLSBERG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37695-2023</t>
        </is>
      </c>
      <c r="B381" s="1" t="n">
        <v>45159</v>
      </c>
      <c r="C381" s="1" t="n">
        <v>45736</v>
      </c>
      <c r="D381" t="inlineStr">
        <is>
          <t>ÖREBRO LÄN</t>
        </is>
      </c>
      <c r="E381" t="inlineStr">
        <is>
          <t>HALLSBERG</t>
        </is>
      </c>
      <c r="G381" t="n">
        <v>2</v>
      </c>
      <c r="H381" t="n">
        <v>0</v>
      </c>
      <c r="I381" t="n">
        <v>0</v>
      </c>
      <c r="J381" t="n">
        <v>0</v>
      </c>
      <c r="K381" t="n">
        <v>0</v>
      </c>
      <c r="L381" t="n">
        <v>0</v>
      </c>
      <c r="M381" t="n">
        <v>0</v>
      </c>
      <c r="N381" t="n">
        <v>0</v>
      </c>
      <c r="O381" t="n">
        <v>0</v>
      </c>
      <c r="P381" t="n">
        <v>0</v>
      </c>
      <c r="Q381" t="n">
        <v>0</v>
      </c>
      <c r="R381" s="2" t="inlineStr"/>
    </row>
    <row r="382" ht="15" customHeight="1">
      <c r="A382" t="inlineStr">
        <is>
          <t>A 37709-2023</t>
        </is>
      </c>
      <c r="B382" s="1" t="n">
        <v>45159</v>
      </c>
      <c r="C382" s="1" t="n">
        <v>45736</v>
      </c>
      <c r="D382" t="inlineStr">
        <is>
          <t>ÖREBRO LÄN</t>
        </is>
      </c>
      <c r="E382" t="inlineStr">
        <is>
          <t>HALLSBERG</t>
        </is>
      </c>
      <c r="G382" t="n">
        <v>3.2</v>
      </c>
      <c r="H382" t="n">
        <v>0</v>
      </c>
      <c r="I382" t="n">
        <v>0</v>
      </c>
      <c r="J382" t="n">
        <v>0</v>
      </c>
      <c r="K382" t="n">
        <v>0</v>
      </c>
      <c r="L382" t="n">
        <v>0</v>
      </c>
      <c r="M382" t="n">
        <v>0</v>
      </c>
      <c r="N382" t="n">
        <v>0</v>
      </c>
      <c r="O382" t="n">
        <v>0</v>
      </c>
      <c r="P382" t="n">
        <v>0</v>
      </c>
      <c r="Q382" t="n">
        <v>0</v>
      </c>
      <c r="R382" s="2" t="inlineStr"/>
    </row>
    <row r="383" ht="15" customHeight="1">
      <c r="A383" t="inlineStr">
        <is>
          <t>A 37714-2023</t>
        </is>
      </c>
      <c r="B383" s="1" t="n">
        <v>45159</v>
      </c>
      <c r="C383" s="1" t="n">
        <v>45736</v>
      </c>
      <c r="D383" t="inlineStr">
        <is>
          <t>ÖREBRO LÄN</t>
        </is>
      </c>
      <c r="E383" t="inlineStr">
        <is>
          <t>HALLSBERG</t>
        </is>
      </c>
      <c r="G383" t="n">
        <v>4.9</v>
      </c>
      <c r="H383" t="n">
        <v>0</v>
      </c>
      <c r="I383" t="n">
        <v>0</v>
      </c>
      <c r="J383" t="n">
        <v>0</v>
      </c>
      <c r="K383" t="n">
        <v>0</v>
      </c>
      <c r="L383" t="n">
        <v>0</v>
      </c>
      <c r="M383" t="n">
        <v>0</v>
      </c>
      <c r="N383" t="n">
        <v>0</v>
      </c>
      <c r="O383" t="n">
        <v>0</v>
      </c>
      <c r="P383" t="n">
        <v>0</v>
      </c>
      <c r="Q383" t="n">
        <v>0</v>
      </c>
      <c r="R383" s="2" t="inlineStr"/>
    </row>
    <row r="384" ht="15" customHeight="1">
      <c r="A384" t="inlineStr">
        <is>
          <t>A 37723-2023</t>
        </is>
      </c>
      <c r="B384" s="1" t="n">
        <v>45159</v>
      </c>
      <c r="C384" s="1" t="n">
        <v>45736</v>
      </c>
      <c r="D384" t="inlineStr">
        <is>
          <t>ÖREBRO LÄN</t>
        </is>
      </c>
      <c r="E384" t="inlineStr">
        <is>
          <t>HALLSBERG</t>
        </is>
      </c>
      <c r="G384" t="n">
        <v>4.1</v>
      </c>
      <c r="H384" t="n">
        <v>0</v>
      </c>
      <c r="I384" t="n">
        <v>0</v>
      </c>
      <c r="J384" t="n">
        <v>0</v>
      </c>
      <c r="K384" t="n">
        <v>0</v>
      </c>
      <c r="L384" t="n">
        <v>0</v>
      </c>
      <c r="M384" t="n">
        <v>0</v>
      </c>
      <c r="N384" t="n">
        <v>0</v>
      </c>
      <c r="O384" t="n">
        <v>0</v>
      </c>
      <c r="P384" t="n">
        <v>0</v>
      </c>
      <c r="Q384" t="n">
        <v>0</v>
      </c>
      <c r="R384" s="2" t="inlineStr"/>
    </row>
    <row r="385" ht="15" customHeight="1">
      <c r="A385" t="inlineStr">
        <is>
          <t>A 37702-2023</t>
        </is>
      </c>
      <c r="B385" s="1" t="n">
        <v>45159</v>
      </c>
      <c r="C385" s="1" t="n">
        <v>45736</v>
      </c>
      <c r="D385" t="inlineStr">
        <is>
          <t>ÖREBRO LÄN</t>
        </is>
      </c>
      <c r="E385" t="inlineStr">
        <is>
          <t>HALLSBERG</t>
        </is>
      </c>
      <c r="G385" t="n">
        <v>4.8</v>
      </c>
      <c r="H385" t="n">
        <v>0</v>
      </c>
      <c r="I385" t="n">
        <v>0</v>
      </c>
      <c r="J385" t="n">
        <v>0</v>
      </c>
      <c r="K385" t="n">
        <v>0</v>
      </c>
      <c r="L385" t="n">
        <v>0</v>
      </c>
      <c r="M385" t="n">
        <v>0</v>
      </c>
      <c r="N385" t="n">
        <v>0</v>
      </c>
      <c r="O385" t="n">
        <v>0</v>
      </c>
      <c r="P385" t="n">
        <v>0</v>
      </c>
      <c r="Q385" t="n">
        <v>0</v>
      </c>
      <c r="R385" s="2" t="inlineStr"/>
    </row>
    <row r="386" ht="15" customHeight="1">
      <c r="A386" t="inlineStr">
        <is>
          <t>A 37685-2023</t>
        </is>
      </c>
      <c r="B386" s="1" t="n">
        <v>45159</v>
      </c>
      <c r="C386" s="1" t="n">
        <v>45736</v>
      </c>
      <c r="D386" t="inlineStr">
        <is>
          <t>ÖREBRO LÄN</t>
        </is>
      </c>
      <c r="E386" t="inlineStr">
        <is>
          <t>HALLSBERG</t>
        </is>
      </c>
      <c r="G386" t="n">
        <v>3.8</v>
      </c>
      <c r="H386" t="n">
        <v>0</v>
      </c>
      <c r="I386" t="n">
        <v>0</v>
      </c>
      <c r="J386" t="n">
        <v>0</v>
      </c>
      <c r="K386" t="n">
        <v>0</v>
      </c>
      <c r="L386" t="n">
        <v>0</v>
      </c>
      <c r="M386" t="n">
        <v>0</v>
      </c>
      <c r="N386" t="n">
        <v>0</v>
      </c>
      <c r="O386" t="n">
        <v>0</v>
      </c>
      <c r="P386" t="n">
        <v>0</v>
      </c>
      <c r="Q386" t="n">
        <v>0</v>
      </c>
      <c r="R386" s="2" t="inlineStr"/>
    </row>
    <row r="387" ht="15" customHeight="1">
      <c r="A387" t="inlineStr">
        <is>
          <t>A 37721-2023</t>
        </is>
      </c>
      <c r="B387" s="1" t="n">
        <v>45159</v>
      </c>
      <c r="C387" s="1" t="n">
        <v>45736</v>
      </c>
      <c r="D387" t="inlineStr">
        <is>
          <t>ÖREBRO LÄN</t>
        </is>
      </c>
      <c r="E387" t="inlineStr">
        <is>
          <t>HALLSBERG</t>
        </is>
      </c>
      <c r="G387" t="n">
        <v>10.5</v>
      </c>
      <c r="H387" t="n">
        <v>0</v>
      </c>
      <c r="I387" t="n">
        <v>0</v>
      </c>
      <c r="J387" t="n">
        <v>0</v>
      </c>
      <c r="K387" t="n">
        <v>0</v>
      </c>
      <c r="L387" t="n">
        <v>0</v>
      </c>
      <c r="M387" t="n">
        <v>0</v>
      </c>
      <c r="N387" t="n">
        <v>0</v>
      </c>
      <c r="O387" t="n">
        <v>0</v>
      </c>
      <c r="P387" t="n">
        <v>0</v>
      </c>
      <c r="Q387" t="n">
        <v>0</v>
      </c>
      <c r="R387" s="2" t="inlineStr"/>
    </row>
    <row r="388" ht="15" customHeight="1">
      <c r="A388" t="inlineStr">
        <is>
          <t>A 37679-2023</t>
        </is>
      </c>
      <c r="B388" s="1" t="n">
        <v>45159</v>
      </c>
      <c r="C388" s="1" t="n">
        <v>45736</v>
      </c>
      <c r="D388" t="inlineStr">
        <is>
          <t>ÖREBRO LÄN</t>
        </is>
      </c>
      <c r="E388" t="inlineStr">
        <is>
          <t>HALLSBERG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37698-2023</t>
        </is>
      </c>
      <c r="B389" s="1" t="n">
        <v>45159</v>
      </c>
      <c r="C389" s="1" t="n">
        <v>45736</v>
      </c>
      <c r="D389" t="inlineStr">
        <is>
          <t>ÖREBRO LÄN</t>
        </is>
      </c>
      <c r="E389" t="inlineStr">
        <is>
          <t>HALLSBERG</t>
        </is>
      </c>
      <c r="G389" t="n">
        <v>2</v>
      </c>
      <c r="H389" t="n">
        <v>0</v>
      </c>
      <c r="I389" t="n">
        <v>0</v>
      </c>
      <c r="J389" t="n">
        <v>0</v>
      </c>
      <c r="K389" t="n">
        <v>0</v>
      </c>
      <c r="L389" t="n">
        <v>0</v>
      </c>
      <c r="M389" t="n">
        <v>0</v>
      </c>
      <c r="N389" t="n">
        <v>0</v>
      </c>
      <c r="O389" t="n">
        <v>0</v>
      </c>
      <c r="P389" t="n">
        <v>0</v>
      </c>
      <c r="Q389" t="n">
        <v>0</v>
      </c>
      <c r="R389" s="2" t="inlineStr"/>
    </row>
    <row r="390" ht="15" customHeight="1">
      <c r="A390" t="inlineStr">
        <is>
          <t>A 38010-2023</t>
        </is>
      </c>
      <c r="B390" s="1" t="n">
        <v>45160</v>
      </c>
      <c r="C390" s="1" t="n">
        <v>45736</v>
      </c>
      <c r="D390" t="inlineStr">
        <is>
          <t>ÖREBRO LÄN</t>
        </is>
      </c>
      <c r="E390" t="inlineStr">
        <is>
          <t>HALLSBERG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38116-2023</t>
        </is>
      </c>
      <c r="B391" s="1" t="n">
        <v>45161</v>
      </c>
      <c r="C391" s="1" t="n">
        <v>45736</v>
      </c>
      <c r="D391" t="inlineStr">
        <is>
          <t>ÖREBRO LÄN</t>
        </is>
      </c>
      <c r="E391" t="inlineStr">
        <is>
          <t>HALLSBERG</t>
        </is>
      </c>
      <c r="G391" t="n">
        <v>5.5</v>
      </c>
      <c r="H391" t="n">
        <v>0</v>
      </c>
      <c r="I391" t="n">
        <v>0</v>
      </c>
      <c r="J391" t="n">
        <v>0</v>
      </c>
      <c r="K391" t="n">
        <v>0</v>
      </c>
      <c r="L391" t="n">
        <v>0</v>
      </c>
      <c r="M391" t="n">
        <v>0</v>
      </c>
      <c r="N391" t="n">
        <v>0</v>
      </c>
      <c r="O391" t="n">
        <v>0</v>
      </c>
      <c r="P391" t="n">
        <v>0</v>
      </c>
      <c r="Q391" t="n">
        <v>0</v>
      </c>
      <c r="R391" s="2" t="inlineStr"/>
    </row>
    <row r="392" ht="15" customHeight="1">
      <c r="A392" t="inlineStr">
        <is>
          <t>A 38120-2023</t>
        </is>
      </c>
      <c r="B392" s="1" t="n">
        <v>45161</v>
      </c>
      <c r="C392" s="1" t="n">
        <v>45736</v>
      </c>
      <c r="D392" t="inlineStr">
        <is>
          <t>ÖREBRO LÄN</t>
        </is>
      </c>
      <c r="E392" t="inlineStr">
        <is>
          <t>HALLSBERG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38122-2023</t>
        </is>
      </c>
      <c r="B393" s="1" t="n">
        <v>45161</v>
      </c>
      <c r="C393" s="1" t="n">
        <v>45736</v>
      </c>
      <c r="D393" t="inlineStr">
        <is>
          <t>ÖREBRO LÄN</t>
        </is>
      </c>
      <c r="E393" t="inlineStr">
        <is>
          <t>HALLSBERG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39288-2023</t>
        </is>
      </c>
      <c r="B394" s="1" t="n">
        <v>45166</v>
      </c>
      <c r="C394" s="1" t="n">
        <v>45736</v>
      </c>
      <c r="D394" t="inlineStr">
        <is>
          <t>ÖREBRO LÄN</t>
        </is>
      </c>
      <c r="E394" t="inlineStr">
        <is>
          <t>HALLSBERG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39658-2023</t>
        </is>
      </c>
      <c r="B395" s="1" t="n">
        <v>45167</v>
      </c>
      <c r="C395" s="1" t="n">
        <v>45736</v>
      </c>
      <c r="D395" t="inlineStr">
        <is>
          <t>ÖREBRO LÄN</t>
        </is>
      </c>
      <c r="E395" t="inlineStr">
        <is>
          <t>HALLSBERG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40551-2023</t>
        </is>
      </c>
      <c r="B396" s="1" t="n">
        <v>45170</v>
      </c>
      <c r="C396" s="1" t="n">
        <v>45736</v>
      </c>
      <c r="D396" t="inlineStr">
        <is>
          <t>ÖREBRO LÄN</t>
        </is>
      </c>
      <c r="E396" t="inlineStr">
        <is>
          <t>HALLSBERG</t>
        </is>
      </c>
      <c r="G396" t="n">
        <v>3</v>
      </c>
      <c r="H396" t="n">
        <v>0</v>
      </c>
      <c r="I396" t="n">
        <v>0</v>
      </c>
      <c r="J396" t="n">
        <v>0</v>
      </c>
      <c r="K396" t="n">
        <v>0</v>
      </c>
      <c r="L396" t="n">
        <v>0</v>
      </c>
      <c r="M396" t="n">
        <v>0</v>
      </c>
      <c r="N396" t="n">
        <v>0</v>
      </c>
      <c r="O396" t="n">
        <v>0</v>
      </c>
      <c r="P396" t="n">
        <v>0</v>
      </c>
      <c r="Q396" t="n">
        <v>0</v>
      </c>
      <c r="R396" s="2" t="inlineStr"/>
    </row>
    <row r="397" ht="15" customHeight="1">
      <c r="A397" t="inlineStr">
        <is>
          <t>A 40887-2023</t>
        </is>
      </c>
      <c r="B397" s="1" t="n">
        <v>45173</v>
      </c>
      <c r="C397" s="1" t="n">
        <v>45736</v>
      </c>
      <c r="D397" t="inlineStr">
        <is>
          <t>ÖREBRO LÄN</t>
        </is>
      </c>
      <c r="E397" t="inlineStr">
        <is>
          <t>HALLSBERG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40968-2023</t>
        </is>
      </c>
      <c r="B398" s="1" t="n">
        <v>45173</v>
      </c>
      <c r="C398" s="1" t="n">
        <v>45736</v>
      </c>
      <c r="D398" t="inlineStr">
        <is>
          <t>ÖREBRO LÄN</t>
        </is>
      </c>
      <c r="E398" t="inlineStr">
        <is>
          <t>HALLSBERG</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41181-2023</t>
        </is>
      </c>
      <c r="B399" s="1" t="n">
        <v>45174</v>
      </c>
      <c r="C399" s="1" t="n">
        <v>45736</v>
      </c>
      <c r="D399" t="inlineStr">
        <is>
          <t>ÖREBRO LÄN</t>
        </is>
      </c>
      <c r="E399" t="inlineStr">
        <is>
          <t>HALLSBERG</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41345-2023</t>
        </is>
      </c>
      <c r="B400" s="1" t="n">
        <v>45174</v>
      </c>
      <c r="C400" s="1" t="n">
        <v>45736</v>
      </c>
      <c r="D400" t="inlineStr">
        <is>
          <t>ÖREBRO LÄN</t>
        </is>
      </c>
      <c r="E400" t="inlineStr">
        <is>
          <t>HALLSBERG</t>
        </is>
      </c>
      <c r="F400" t="inlineStr">
        <is>
          <t>Allmännings- och besparingsskogar</t>
        </is>
      </c>
      <c r="G400" t="n">
        <v>0.6</v>
      </c>
      <c r="H400" t="n">
        <v>0</v>
      </c>
      <c r="I400" t="n">
        <v>0</v>
      </c>
      <c r="J400" t="n">
        <v>0</v>
      </c>
      <c r="K400" t="n">
        <v>0</v>
      </c>
      <c r="L400" t="n">
        <v>0</v>
      </c>
      <c r="M400" t="n">
        <v>0</v>
      </c>
      <c r="N400" t="n">
        <v>0</v>
      </c>
      <c r="O400" t="n">
        <v>0</v>
      </c>
      <c r="P400" t="n">
        <v>0</v>
      </c>
      <c r="Q400" t="n">
        <v>0</v>
      </c>
      <c r="R400" s="2" t="inlineStr"/>
    </row>
    <row r="401" ht="15" customHeight="1">
      <c r="A401" t="inlineStr">
        <is>
          <t>A 41196-2023</t>
        </is>
      </c>
      <c r="B401" s="1" t="n">
        <v>45174</v>
      </c>
      <c r="C401" s="1" t="n">
        <v>45736</v>
      </c>
      <c r="D401" t="inlineStr">
        <is>
          <t>ÖREBRO LÄN</t>
        </is>
      </c>
      <c r="E401" t="inlineStr">
        <is>
          <t>HALLSBERG</t>
        </is>
      </c>
      <c r="F401" t="inlineStr">
        <is>
          <t>Allmännings- och besparingsskogar</t>
        </is>
      </c>
      <c r="G401" t="n">
        <v>3.6</v>
      </c>
      <c r="H401" t="n">
        <v>0</v>
      </c>
      <c r="I401" t="n">
        <v>0</v>
      </c>
      <c r="J401" t="n">
        <v>0</v>
      </c>
      <c r="K401" t="n">
        <v>0</v>
      </c>
      <c r="L401" t="n">
        <v>0</v>
      </c>
      <c r="M401" t="n">
        <v>0</v>
      </c>
      <c r="N401" t="n">
        <v>0</v>
      </c>
      <c r="O401" t="n">
        <v>0</v>
      </c>
      <c r="P401" t="n">
        <v>0</v>
      </c>
      <c r="Q401" t="n">
        <v>0</v>
      </c>
      <c r="R401" s="2" t="inlineStr"/>
    </row>
    <row r="402" ht="15" customHeight="1">
      <c r="A402" t="inlineStr">
        <is>
          <t>A 41515-2023</t>
        </is>
      </c>
      <c r="B402" s="1" t="n">
        <v>45175</v>
      </c>
      <c r="C402" s="1" t="n">
        <v>45736</v>
      </c>
      <c r="D402" t="inlineStr">
        <is>
          <t>ÖREBRO LÄN</t>
        </is>
      </c>
      <c r="E402" t="inlineStr">
        <is>
          <t>HALLSBERG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41886-2023</t>
        </is>
      </c>
      <c r="B403" s="1" t="n">
        <v>45176</v>
      </c>
      <c r="C403" s="1" t="n">
        <v>45736</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44031-2023</t>
        </is>
      </c>
      <c r="B404" s="1" t="n">
        <v>45188</v>
      </c>
      <c r="C404" s="1" t="n">
        <v>45736</v>
      </c>
      <c r="D404" t="inlineStr">
        <is>
          <t>ÖREBRO LÄN</t>
        </is>
      </c>
      <c r="E404" t="inlineStr">
        <is>
          <t>HALLSBERG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44811-2023</t>
        </is>
      </c>
      <c r="B405" s="1" t="n">
        <v>45190</v>
      </c>
      <c r="C405" s="1" t="n">
        <v>45736</v>
      </c>
      <c r="D405" t="inlineStr">
        <is>
          <t>ÖREBRO LÄN</t>
        </is>
      </c>
      <c r="E405" t="inlineStr">
        <is>
          <t>HALLSBERG</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45862-2023</t>
        </is>
      </c>
      <c r="B406" s="1" t="n">
        <v>45195</v>
      </c>
      <c r="C406" s="1" t="n">
        <v>45736</v>
      </c>
      <c r="D406" t="inlineStr">
        <is>
          <t>ÖREBRO LÄN</t>
        </is>
      </c>
      <c r="E406" t="inlineStr">
        <is>
          <t>HALLSBERG</t>
        </is>
      </c>
      <c r="F406" t="inlineStr">
        <is>
          <t>Allmännings- och besparingsskogar</t>
        </is>
      </c>
      <c r="G406" t="n">
        <v>7.8</v>
      </c>
      <c r="H406" t="n">
        <v>0</v>
      </c>
      <c r="I406" t="n">
        <v>0</v>
      </c>
      <c r="J406" t="n">
        <v>0</v>
      </c>
      <c r="K406" t="n">
        <v>0</v>
      </c>
      <c r="L406" t="n">
        <v>0</v>
      </c>
      <c r="M406" t="n">
        <v>0</v>
      </c>
      <c r="N406" t="n">
        <v>0</v>
      </c>
      <c r="O406" t="n">
        <v>0</v>
      </c>
      <c r="P406" t="n">
        <v>0</v>
      </c>
      <c r="Q406" t="n">
        <v>0</v>
      </c>
      <c r="R406" s="2" t="inlineStr"/>
    </row>
    <row r="407" ht="15" customHeight="1">
      <c r="A407" t="inlineStr">
        <is>
          <t>A 45852-2023</t>
        </is>
      </c>
      <c r="B407" s="1" t="n">
        <v>45195</v>
      </c>
      <c r="C407" s="1" t="n">
        <v>45736</v>
      </c>
      <c r="D407" t="inlineStr">
        <is>
          <t>ÖREBRO LÄN</t>
        </is>
      </c>
      <c r="E407" t="inlineStr">
        <is>
          <t>HALLSBERG</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46235-2023</t>
        </is>
      </c>
      <c r="B408" s="1" t="n">
        <v>45196</v>
      </c>
      <c r="C408" s="1" t="n">
        <v>45736</v>
      </c>
      <c r="D408" t="inlineStr">
        <is>
          <t>ÖREBRO LÄN</t>
        </is>
      </c>
      <c r="E408" t="inlineStr">
        <is>
          <t>HALLSBERG</t>
        </is>
      </c>
      <c r="F408" t="inlineStr">
        <is>
          <t>Allmännings- och besparingsskogar</t>
        </is>
      </c>
      <c r="G408" t="n">
        <v>7</v>
      </c>
      <c r="H408" t="n">
        <v>0</v>
      </c>
      <c r="I408" t="n">
        <v>0</v>
      </c>
      <c r="J408" t="n">
        <v>0</v>
      </c>
      <c r="K408" t="n">
        <v>0</v>
      </c>
      <c r="L408" t="n">
        <v>0</v>
      </c>
      <c r="M408" t="n">
        <v>0</v>
      </c>
      <c r="N408" t="n">
        <v>0</v>
      </c>
      <c r="O408" t="n">
        <v>0</v>
      </c>
      <c r="P408" t="n">
        <v>0</v>
      </c>
      <c r="Q408" t="n">
        <v>0</v>
      </c>
      <c r="R408" s="2" t="inlineStr"/>
    </row>
    <row r="409" ht="15" customHeight="1">
      <c r="A409" t="inlineStr">
        <is>
          <t>A 46792-2023</t>
        </is>
      </c>
      <c r="B409" s="1" t="n">
        <v>45198</v>
      </c>
      <c r="C409" s="1" t="n">
        <v>45736</v>
      </c>
      <c r="D409" t="inlineStr">
        <is>
          <t>ÖREBRO LÄN</t>
        </is>
      </c>
      <c r="E409" t="inlineStr">
        <is>
          <t>HALLSBERG</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48912-2023</t>
        </is>
      </c>
      <c r="B410" s="1" t="n">
        <v>45203</v>
      </c>
      <c r="C410" s="1" t="n">
        <v>45736</v>
      </c>
      <c r="D410" t="inlineStr">
        <is>
          <t>ÖREBRO LÄN</t>
        </is>
      </c>
      <c r="E410" t="inlineStr">
        <is>
          <t>HALLSBERG</t>
        </is>
      </c>
      <c r="G410" t="n">
        <v>2.8</v>
      </c>
      <c r="H410" t="n">
        <v>0</v>
      </c>
      <c r="I410" t="n">
        <v>0</v>
      </c>
      <c r="J410" t="n">
        <v>0</v>
      </c>
      <c r="K410" t="n">
        <v>0</v>
      </c>
      <c r="L410" t="n">
        <v>0</v>
      </c>
      <c r="M410" t="n">
        <v>0</v>
      </c>
      <c r="N410" t="n">
        <v>0</v>
      </c>
      <c r="O410" t="n">
        <v>0</v>
      </c>
      <c r="P410" t="n">
        <v>0</v>
      </c>
      <c r="Q410" t="n">
        <v>0</v>
      </c>
      <c r="R410" s="2" t="inlineStr"/>
    </row>
    <row r="411" ht="15" customHeight="1">
      <c r="A411" t="inlineStr">
        <is>
          <t>A 51350-2023</t>
        </is>
      </c>
      <c r="B411" s="1" t="n">
        <v>45213</v>
      </c>
      <c r="C411" s="1" t="n">
        <v>45736</v>
      </c>
      <c r="D411" t="inlineStr">
        <is>
          <t>ÖREBRO LÄN</t>
        </is>
      </c>
      <c r="E411" t="inlineStr">
        <is>
          <t>HALLSBERG</t>
        </is>
      </c>
      <c r="G411" t="n">
        <v>2</v>
      </c>
      <c r="H411" t="n">
        <v>0</v>
      </c>
      <c r="I411" t="n">
        <v>0</v>
      </c>
      <c r="J411" t="n">
        <v>0</v>
      </c>
      <c r="K411" t="n">
        <v>0</v>
      </c>
      <c r="L411" t="n">
        <v>0</v>
      </c>
      <c r="M411" t="n">
        <v>0</v>
      </c>
      <c r="N411" t="n">
        <v>0</v>
      </c>
      <c r="O411" t="n">
        <v>0</v>
      </c>
      <c r="P411" t="n">
        <v>0</v>
      </c>
      <c r="Q411" t="n">
        <v>0</v>
      </c>
      <c r="R411" s="2" t="inlineStr"/>
    </row>
    <row r="412" ht="15" customHeight="1">
      <c r="A412" t="inlineStr">
        <is>
          <t>A 52708-2023</t>
        </is>
      </c>
      <c r="B412" s="1" t="n">
        <v>45225</v>
      </c>
      <c r="C412" s="1" t="n">
        <v>45736</v>
      </c>
      <c r="D412" t="inlineStr">
        <is>
          <t>ÖREBRO LÄN</t>
        </is>
      </c>
      <c r="E412" t="inlineStr">
        <is>
          <t>HALLSBERG</t>
        </is>
      </c>
      <c r="G412" t="n">
        <v>2.9</v>
      </c>
      <c r="H412" t="n">
        <v>0</v>
      </c>
      <c r="I412" t="n">
        <v>0</v>
      </c>
      <c r="J412" t="n">
        <v>0</v>
      </c>
      <c r="K412" t="n">
        <v>0</v>
      </c>
      <c r="L412" t="n">
        <v>0</v>
      </c>
      <c r="M412" t="n">
        <v>0</v>
      </c>
      <c r="N412" t="n">
        <v>0</v>
      </c>
      <c r="O412" t="n">
        <v>0</v>
      </c>
      <c r="P412" t="n">
        <v>0</v>
      </c>
      <c r="Q412" t="n">
        <v>0</v>
      </c>
      <c r="R412" s="2" t="inlineStr"/>
    </row>
    <row r="413" ht="15" customHeight="1">
      <c r="A413" t="inlineStr">
        <is>
          <t>A 52710-2023</t>
        </is>
      </c>
      <c r="B413" s="1" t="n">
        <v>45225</v>
      </c>
      <c r="C413" s="1" t="n">
        <v>45736</v>
      </c>
      <c r="D413" t="inlineStr">
        <is>
          <t>ÖREBRO LÄN</t>
        </is>
      </c>
      <c r="E413" t="inlineStr">
        <is>
          <t>HALLSBERG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52707-2023</t>
        </is>
      </c>
      <c r="B414" s="1" t="n">
        <v>45225</v>
      </c>
      <c r="C414" s="1" t="n">
        <v>45736</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52709-2023</t>
        </is>
      </c>
      <c r="B415" s="1" t="n">
        <v>45225</v>
      </c>
      <c r="C415" s="1" t="n">
        <v>45736</v>
      </c>
      <c r="D415" t="inlineStr">
        <is>
          <t>ÖREBRO LÄN</t>
        </is>
      </c>
      <c r="E415" t="inlineStr">
        <is>
          <t>HALLSBERG</t>
        </is>
      </c>
      <c r="G415" t="n">
        <v>3.1</v>
      </c>
      <c r="H415" t="n">
        <v>0</v>
      </c>
      <c r="I415" t="n">
        <v>0</v>
      </c>
      <c r="J415" t="n">
        <v>0</v>
      </c>
      <c r="K415" t="n">
        <v>0</v>
      </c>
      <c r="L415" t="n">
        <v>0</v>
      </c>
      <c r="M415" t="n">
        <v>0</v>
      </c>
      <c r="N415" t="n">
        <v>0</v>
      </c>
      <c r="O415" t="n">
        <v>0</v>
      </c>
      <c r="P415" t="n">
        <v>0</v>
      </c>
      <c r="Q415" t="n">
        <v>0</v>
      </c>
      <c r="R415" s="2" t="inlineStr"/>
    </row>
    <row r="416" ht="15" customHeight="1">
      <c r="A416" t="inlineStr">
        <is>
          <t>A 53009-2023</t>
        </is>
      </c>
      <c r="B416" s="1" t="n">
        <v>45226</v>
      </c>
      <c r="C416" s="1" t="n">
        <v>45736</v>
      </c>
      <c r="D416" t="inlineStr">
        <is>
          <t>ÖREBRO LÄN</t>
        </is>
      </c>
      <c r="E416" t="inlineStr">
        <is>
          <t>HALLSBERG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53012-2023</t>
        </is>
      </c>
      <c r="B417" s="1" t="n">
        <v>45226</v>
      </c>
      <c r="C417" s="1" t="n">
        <v>45736</v>
      </c>
      <c r="D417" t="inlineStr">
        <is>
          <t>ÖREBRO LÄN</t>
        </is>
      </c>
      <c r="E417" t="inlineStr">
        <is>
          <t>HALLSBERG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53011-2023</t>
        </is>
      </c>
      <c r="B418" s="1" t="n">
        <v>45226</v>
      </c>
      <c r="C418" s="1" t="n">
        <v>45736</v>
      </c>
      <c r="D418" t="inlineStr">
        <is>
          <t>ÖREBRO LÄN</t>
        </is>
      </c>
      <c r="E418" t="inlineStr">
        <is>
          <t>HALLSBERG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53329-2023</t>
        </is>
      </c>
      <c r="B419" s="1" t="n">
        <v>45229</v>
      </c>
      <c r="C419" s="1" t="n">
        <v>45736</v>
      </c>
      <c r="D419" t="inlineStr">
        <is>
          <t>ÖREBRO LÄN</t>
        </is>
      </c>
      <c r="E419" t="inlineStr">
        <is>
          <t>HALLSBERG</t>
        </is>
      </c>
      <c r="G419" t="n">
        <v>5.1</v>
      </c>
      <c r="H419" t="n">
        <v>0</v>
      </c>
      <c r="I419" t="n">
        <v>0</v>
      </c>
      <c r="J419" t="n">
        <v>0</v>
      </c>
      <c r="K419" t="n">
        <v>0</v>
      </c>
      <c r="L419" t="n">
        <v>0</v>
      </c>
      <c r="M419" t="n">
        <v>0</v>
      </c>
      <c r="N419" t="n">
        <v>0</v>
      </c>
      <c r="O419" t="n">
        <v>0</v>
      </c>
      <c r="P419" t="n">
        <v>0</v>
      </c>
      <c r="Q419" t="n">
        <v>0</v>
      </c>
      <c r="R419" s="2" t="inlineStr"/>
    </row>
    <row r="420" ht="15" customHeight="1">
      <c r="A420" t="inlineStr">
        <is>
          <t>A 54679-2023</t>
        </is>
      </c>
      <c r="B420" s="1" t="n">
        <v>45235</v>
      </c>
      <c r="C420" s="1" t="n">
        <v>45736</v>
      </c>
      <c r="D420" t="inlineStr">
        <is>
          <t>ÖREBRO LÄN</t>
        </is>
      </c>
      <c r="E420" t="inlineStr">
        <is>
          <t>HALLSBERG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55851-2023</t>
        </is>
      </c>
      <c r="B421" s="1" t="n">
        <v>45239</v>
      </c>
      <c r="C421" s="1" t="n">
        <v>45736</v>
      </c>
      <c r="D421" t="inlineStr">
        <is>
          <t>ÖREBRO LÄN</t>
        </is>
      </c>
      <c r="E421" t="inlineStr">
        <is>
          <t>HALLSBERG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55862-2023</t>
        </is>
      </c>
      <c r="B422" s="1" t="n">
        <v>45239</v>
      </c>
      <c r="C422" s="1" t="n">
        <v>45736</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56270-2023</t>
        </is>
      </c>
      <c r="B423" s="1" t="n">
        <v>45240</v>
      </c>
      <c r="C423" s="1" t="n">
        <v>45736</v>
      </c>
      <c r="D423" t="inlineStr">
        <is>
          <t>ÖREBRO LÄN</t>
        </is>
      </c>
      <c r="E423" t="inlineStr">
        <is>
          <t>HALLSBERG</t>
        </is>
      </c>
      <c r="G423" t="n">
        <v>1.4</v>
      </c>
      <c r="H423" t="n">
        <v>0</v>
      </c>
      <c r="I423" t="n">
        <v>0</v>
      </c>
      <c r="J423" t="n">
        <v>0</v>
      </c>
      <c r="K423" t="n">
        <v>0</v>
      </c>
      <c r="L423" t="n">
        <v>0</v>
      </c>
      <c r="M423" t="n">
        <v>0</v>
      </c>
      <c r="N423" t="n">
        <v>0</v>
      </c>
      <c r="O423" t="n">
        <v>0</v>
      </c>
      <c r="P423" t="n">
        <v>0</v>
      </c>
      <c r="Q423" t="n">
        <v>0</v>
      </c>
      <c r="R423" s="2" t="inlineStr"/>
    </row>
    <row r="424" ht="15" customHeight="1">
      <c r="A424" t="inlineStr">
        <is>
          <t>A 56271-2023</t>
        </is>
      </c>
      <c r="B424" s="1" t="n">
        <v>45240</v>
      </c>
      <c r="C424" s="1" t="n">
        <v>45736</v>
      </c>
      <c r="D424" t="inlineStr">
        <is>
          <t>ÖREBRO LÄN</t>
        </is>
      </c>
      <c r="E424" t="inlineStr">
        <is>
          <t>HALLSBERG</t>
        </is>
      </c>
      <c r="G424" t="n">
        <v>6.2</v>
      </c>
      <c r="H424" t="n">
        <v>0</v>
      </c>
      <c r="I424" t="n">
        <v>0</v>
      </c>
      <c r="J424" t="n">
        <v>0</v>
      </c>
      <c r="K424" t="n">
        <v>0</v>
      </c>
      <c r="L424" t="n">
        <v>0</v>
      </c>
      <c r="M424" t="n">
        <v>0</v>
      </c>
      <c r="N424" t="n">
        <v>0</v>
      </c>
      <c r="O424" t="n">
        <v>0</v>
      </c>
      <c r="P424" t="n">
        <v>0</v>
      </c>
      <c r="Q424" t="n">
        <v>0</v>
      </c>
      <c r="R424" s="2" t="inlineStr"/>
    </row>
    <row r="425" ht="15" customHeight="1">
      <c r="A425" t="inlineStr">
        <is>
          <t>A 56272-2023</t>
        </is>
      </c>
      <c r="B425" s="1" t="n">
        <v>45241</v>
      </c>
      <c r="C425" s="1" t="n">
        <v>45736</v>
      </c>
      <c r="D425" t="inlineStr">
        <is>
          <t>ÖREBRO LÄN</t>
        </is>
      </c>
      <c r="E425" t="inlineStr">
        <is>
          <t>HALLSBERG</t>
        </is>
      </c>
      <c r="G425" t="n">
        <v>1.8</v>
      </c>
      <c r="H425" t="n">
        <v>0</v>
      </c>
      <c r="I425" t="n">
        <v>0</v>
      </c>
      <c r="J425" t="n">
        <v>0</v>
      </c>
      <c r="K425" t="n">
        <v>0</v>
      </c>
      <c r="L425" t="n">
        <v>0</v>
      </c>
      <c r="M425" t="n">
        <v>0</v>
      </c>
      <c r="N425" t="n">
        <v>0</v>
      </c>
      <c r="O425" t="n">
        <v>0</v>
      </c>
      <c r="P425" t="n">
        <v>0</v>
      </c>
      <c r="Q425" t="n">
        <v>0</v>
      </c>
      <c r="R425" s="2" t="inlineStr"/>
    </row>
    <row r="426" ht="15" customHeight="1">
      <c r="A426" t="inlineStr">
        <is>
          <t>A 59164-2023</t>
        </is>
      </c>
      <c r="B426" s="1" t="n">
        <v>45253</v>
      </c>
      <c r="C426" s="1" t="n">
        <v>45736</v>
      </c>
      <c r="D426" t="inlineStr">
        <is>
          <t>ÖREBRO LÄN</t>
        </is>
      </c>
      <c r="E426" t="inlineStr">
        <is>
          <t>HALLSBERG</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59166-2023</t>
        </is>
      </c>
      <c r="B427" s="1" t="n">
        <v>45253</v>
      </c>
      <c r="C427" s="1" t="n">
        <v>45736</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59167-2023</t>
        </is>
      </c>
      <c r="B428" s="1" t="n">
        <v>45253</v>
      </c>
      <c r="C428" s="1" t="n">
        <v>45736</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59442-2023</t>
        </is>
      </c>
      <c r="B429" s="1" t="n">
        <v>45254</v>
      </c>
      <c r="C429" s="1" t="n">
        <v>45736</v>
      </c>
      <c r="D429" t="inlineStr">
        <is>
          <t>ÖREBRO LÄN</t>
        </is>
      </c>
      <c r="E429" t="inlineStr">
        <is>
          <t>HALLSBERG</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60082-2023</t>
        </is>
      </c>
      <c r="B430" s="1" t="n">
        <v>45258</v>
      </c>
      <c r="C430" s="1" t="n">
        <v>45736</v>
      </c>
      <c r="D430" t="inlineStr">
        <is>
          <t>ÖREBRO LÄN</t>
        </is>
      </c>
      <c r="E430" t="inlineStr">
        <is>
          <t>HALLSBERG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60147-2023</t>
        </is>
      </c>
      <c r="B431" s="1" t="n">
        <v>45258</v>
      </c>
      <c r="C431" s="1" t="n">
        <v>45736</v>
      </c>
      <c r="D431" t="inlineStr">
        <is>
          <t>ÖREBRO LÄN</t>
        </is>
      </c>
      <c r="E431" t="inlineStr">
        <is>
          <t>HALLSBERG</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60092-2023</t>
        </is>
      </c>
      <c r="B432" s="1" t="n">
        <v>45258</v>
      </c>
      <c r="C432" s="1" t="n">
        <v>45736</v>
      </c>
      <c r="D432" t="inlineStr">
        <is>
          <t>ÖREBRO LÄN</t>
        </is>
      </c>
      <c r="E432" t="inlineStr">
        <is>
          <t>HALLSBERG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60081-2023</t>
        </is>
      </c>
      <c r="B433" s="1" t="n">
        <v>45258</v>
      </c>
      <c r="C433" s="1" t="n">
        <v>45736</v>
      </c>
      <c r="D433" t="inlineStr">
        <is>
          <t>ÖREBRO LÄN</t>
        </is>
      </c>
      <c r="E433" t="inlineStr">
        <is>
          <t>HALLSBERG</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60089-2023</t>
        </is>
      </c>
      <c r="B434" s="1" t="n">
        <v>45258</v>
      </c>
      <c r="C434" s="1" t="n">
        <v>45736</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60093-2023</t>
        </is>
      </c>
      <c r="B435" s="1" t="n">
        <v>45258</v>
      </c>
      <c r="C435" s="1" t="n">
        <v>45736</v>
      </c>
      <c r="D435" t="inlineStr">
        <is>
          <t>ÖREBRO LÄN</t>
        </is>
      </c>
      <c r="E435" t="inlineStr">
        <is>
          <t>HALLSBERG</t>
        </is>
      </c>
      <c r="F435" t="inlineStr">
        <is>
          <t>Sveaskog</t>
        </is>
      </c>
      <c r="G435" t="n">
        <v>11.3</v>
      </c>
      <c r="H435" t="n">
        <v>0</v>
      </c>
      <c r="I435" t="n">
        <v>0</v>
      </c>
      <c r="J435" t="n">
        <v>0</v>
      </c>
      <c r="K435" t="n">
        <v>0</v>
      </c>
      <c r="L435" t="n">
        <v>0</v>
      </c>
      <c r="M435" t="n">
        <v>0</v>
      </c>
      <c r="N435" t="n">
        <v>0</v>
      </c>
      <c r="O435" t="n">
        <v>0</v>
      </c>
      <c r="P435" t="n">
        <v>0</v>
      </c>
      <c r="Q435" t="n">
        <v>0</v>
      </c>
      <c r="R435" s="2" t="inlineStr"/>
    </row>
    <row r="436" ht="15" customHeight="1">
      <c r="A436" t="inlineStr">
        <is>
          <t>A 60154-2023</t>
        </is>
      </c>
      <c r="B436" s="1" t="n">
        <v>45258</v>
      </c>
      <c r="C436" s="1" t="n">
        <v>45736</v>
      </c>
      <c r="D436" t="inlineStr">
        <is>
          <t>ÖREBRO LÄN</t>
        </is>
      </c>
      <c r="E436" t="inlineStr">
        <is>
          <t>HALLSBERG</t>
        </is>
      </c>
      <c r="G436" t="n">
        <v>4.8</v>
      </c>
      <c r="H436" t="n">
        <v>0</v>
      </c>
      <c r="I436" t="n">
        <v>0</v>
      </c>
      <c r="J436" t="n">
        <v>0</v>
      </c>
      <c r="K436" t="n">
        <v>0</v>
      </c>
      <c r="L436" t="n">
        <v>0</v>
      </c>
      <c r="M436" t="n">
        <v>0</v>
      </c>
      <c r="N436" t="n">
        <v>0</v>
      </c>
      <c r="O436" t="n">
        <v>0</v>
      </c>
      <c r="P436" t="n">
        <v>0</v>
      </c>
      <c r="Q436" t="n">
        <v>0</v>
      </c>
      <c r="R436" s="2" t="inlineStr"/>
    </row>
    <row r="437" ht="15" customHeight="1">
      <c r="A437" t="inlineStr">
        <is>
          <t>A 61058-2023</t>
        </is>
      </c>
      <c r="B437" s="1" t="n">
        <v>45261</v>
      </c>
      <c r="C437" s="1" t="n">
        <v>45736</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61057-2023</t>
        </is>
      </c>
      <c r="B438" s="1" t="n">
        <v>45261</v>
      </c>
      <c r="C438" s="1" t="n">
        <v>45736</v>
      </c>
      <c r="D438" t="inlineStr">
        <is>
          <t>ÖREBRO LÄN</t>
        </is>
      </c>
      <c r="E438" t="inlineStr">
        <is>
          <t>HALLSBERG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61646-2023</t>
        </is>
      </c>
      <c r="B439" s="1" t="n">
        <v>45263</v>
      </c>
      <c r="C439" s="1" t="n">
        <v>45736</v>
      </c>
      <c r="D439" t="inlineStr">
        <is>
          <t>ÖREBRO LÄN</t>
        </is>
      </c>
      <c r="E439" t="inlineStr">
        <is>
          <t>HALLSBERG</t>
        </is>
      </c>
      <c r="G439" t="n">
        <v>2.9</v>
      </c>
      <c r="H439" t="n">
        <v>0</v>
      </c>
      <c r="I439" t="n">
        <v>0</v>
      </c>
      <c r="J439" t="n">
        <v>0</v>
      </c>
      <c r="K439" t="n">
        <v>0</v>
      </c>
      <c r="L439" t="n">
        <v>0</v>
      </c>
      <c r="M439" t="n">
        <v>0</v>
      </c>
      <c r="N439" t="n">
        <v>0</v>
      </c>
      <c r="O439" t="n">
        <v>0</v>
      </c>
      <c r="P439" t="n">
        <v>0</v>
      </c>
      <c r="Q439" t="n">
        <v>0</v>
      </c>
      <c r="R439" s="2" t="inlineStr"/>
    </row>
    <row r="440" ht="15" customHeight="1">
      <c r="A440" t="inlineStr">
        <is>
          <t>A 61628-2023</t>
        </is>
      </c>
      <c r="B440" s="1" t="n">
        <v>45265</v>
      </c>
      <c r="C440" s="1" t="n">
        <v>45736</v>
      </c>
      <c r="D440" t="inlineStr">
        <is>
          <t>ÖREBRO LÄN</t>
        </is>
      </c>
      <c r="E440" t="inlineStr">
        <is>
          <t>HALLSBERG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62241-2023</t>
        </is>
      </c>
      <c r="B441" s="1" t="n">
        <v>45267</v>
      </c>
      <c r="C441" s="1" t="n">
        <v>45736</v>
      </c>
      <c r="D441" t="inlineStr">
        <is>
          <t>ÖREBRO LÄN</t>
        </is>
      </c>
      <c r="E441" t="inlineStr">
        <is>
          <t>HALLSBERG</t>
        </is>
      </c>
      <c r="G441" t="n">
        <v>16.6</v>
      </c>
      <c r="H441" t="n">
        <v>0</v>
      </c>
      <c r="I441" t="n">
        <v>0</v>
      </c>
      <c r="J441" t="n">
        <v>0</v>
      </c>
      <c r="K441" t="n">
        <v>0</v>
      </c>
      <c r="L441" t="n">
        <v>0</v>
      </c>
      <c r="M441" t="n">
        <v>0</v>
      </c>
      <c r="N441" t="n">
        <v>0</v>
      </c>
      <c r="O441" t="n">
        <v>0</v>
      </c>
      <c r="P441" t="n">
        <v>0</v>
      </c>
      <c r="Q441" t="n">
        <v>0</v>
      </c>
      <c r="R441" s="2" t="inlineStr"/>
    </row>
    <row r="442" ht="15" customHeight="1">
      <c r="A442" t="inlineStr">
        <is>
          <t>A 63187-2023</t>
        </is>
      </c>
      <c r="B442" s="1" t="n">
        <v>45272</v>
      </c>
      <c r="C442" s="1" t="n">
        <v>45736</v>
      </c>
      <c r="D442" t="inlineStr">
        <is>
          <t>ÖREBRO LÄN</t>
        </is>
      </c>
      <c r="E442" t="inlineStr">
        <is>
          <t>HALLSBERG</t>
        </is>
      </c>
      <c r="G442" t="n">
        <v>3.7</v>
      </c>
      <c r="H442" t="n">
        <v>0</v>
      </c>
      <c r="I442" t="n">
        <v>0</v>
      </c>
      <c r="J442" t="n">
        <v>0</v>
      </c>
      <c r="K442" t="n">
        <v>0</v>
      </c>
      <c r="L442" t="n">
        <v>0</v>
      </c>
      <c r="M442" t="n">
        <v>0</v>
      </c>
      <c r="N442" t="n">
        <v>0</v>
      </c>
      <c r="O442" t="n">
        <v>0</v>
      </c>
      <c r="P442" t="n">
        <v>0</v>
      </c>
      <c r="Q442" t="n">
        <v>0</v>
      </c>
      <c r="R442" s="2" t="inlineStr"/>
    </row>
    <row r="443" ht="15" customHeight="1">
      <c r="A443" t="inlineStr">
        <is>
          <t>A 63213-2023</t>
        </is>
      </c>
      <c r="B443" s="1" t="n">
        <v>45272</v>
      </c>
      <c r="C443" s="1" t="n">
        <v>45736</v>
      </c>
      <c r="D443" t="inlineStr">
        <is>
          <t>ÖREBRO LÄN</t>
        </is>
      </c>
      <c r="E443" t="inlineStr">
        <is>
          <t>HALLSBERG</t>
        </is>
      </c>
      <c r="G443" t="n">
        <v>3.3</v>
      </c>
      <c r="H443" t="n">
        <v>0</v>
      </c>
      <c r="I443" t="n">
        <v>0</v>
      </c>
      <c r="J443" t="n">
        <v>0</v>
      </c>
      <c r="K443" t="n">
        <v>0</v>
      </c>
      <c r="L443" t="n">
        <v>0</v>
      </c>
      <c r="M443" t="n">
        <v>0</v>
      </c>
      <c r="N443" t="n">
        <v>0</v>
      </c>
      <c r="O443" t="n">
        <v>0</v>
      </c>
      <c r="P443" t="n">
        <v>0</v>
      </c>
      <c r="Q443" t="n">
        <v>0</v>
      </c>
      <c r="R443" s="2" t="inlineStr"/>
    </row>
    <row r="444" ht="15" customHeight="1">
      <c r="A444" t="inlineStr">
        <is>
          <t>A 63223-2023</t>
        </is>
      </c>
      <c r="B444" s="1" t="n">
        <v>45273</v>
      </c>
      <c r="C444" s="1" t="n">
        <v>45736</v>
      </c>
      <c r="D444" t="inlineStr">
        <is>
          <t>ÖREBRO LÄN</t>
        </is>
      </c>
      <c r="E444" t="inlineStr">
        <is>
          <t>HALLSBERG</t>
        </is>
      </c>
      <c r="G444" t="n">
        <v>3.1</v>
      </c>
      <c r="H444" t="n">
        <v>0</v>
      </c>
      <c r="I444" t="n">
        <v>0</v>
      </c>
      <c r="J444" t="n">
        <v>0</v>
      </c>
      <c r="K444" t="n">
        <v>0</v>
      </c>
      <c r="L444" t="n">
        <v>0</v>
      </c>
      <c r="M444" t="n">
        <v>0</v>
      </c>
      <c r="N444" t="n">
        <v>0</v>
      </c>
      <c r="O444" t="n">
        <v>0</v>
      </c>
      <c r="P444" t="n">
        <v>0</v>
      </c>
      <c r="Q444" t="n">
        <v>0</v>
      </c>
      <c r="R444" s="2" t="inlineStr"/>
    </row>
    <row r="445" ht="15" customHeight="1">
      <c r="A445" t="inlineStr">
        <is>
          <t>A 64160-2023</t>
        </is>
      </c>
      <c r="B445" s="1" t="n">
        <v>45279</v>
      </c>
      <c r="C445" s="1" t="n">
        <v>45736</v>
      </c>
      <c r="D445" t="inlineStr">
        <is>
          <t>ÖREBRO LÄN</t>
        </is>
      </c>
      <c r="E445" t="inlineStr">
        <is>
          <t>HALLSBERG</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64172-2023</t>
        </is>
      </c>
      <c r="B446" s="1" t="n">
        <v>45279</v>
      </c>
      <c r="C446" s="1" t="n">
        <v>45736</v>
      </c>
      <c r="D446" t="inlineStr">
        <is>
          <t>ÖREBRO LÄN</t>
        </is>
      </c>
      <c r="E446" t="inlineStr">
        <is>
          <t>HALLSBERG</t>
        </is>
      </c>
      <c r="F446" t="inlineStr">
        <is>
          <t>Övriga Aktiebolag</t>
        </is>
      </c>
      <c r="G446" t="n">
        <v>6.3</v>
      </c>
      <c r="H446" t="n">
        <v>0</v>
      </c>
      <c r="I446" t="n">
        <v>0</v>
      </c>
      <c r="J446" t="n">
        <v>0</v>
      </c>
      <c r="K446" t="n">
        <v>0</v>
      </c>
      <c r="L446" t="n">
        <v>0</v>
      </c>
      <c r="M446" t="n">
        <v>0</v>
      </c>
      <c r="N446" t="n">
        <v>0</v>
      </c>
      <c r="O446" t="n">
        <v>0</v>
      </c>
      <c r="P446" t="n">
        <v>0</v>
      </c>
      <c r="Q446" t="n">
        <v>0</v>
      </c>
      <c r="R446" s="2" t="inlineStr"/>
    </row>
    <row r="447" ht="15" customHeight="1">
      <c r="A447" t="inlineStr">
        <is>
          <t>A 64200-2023</t>
        </is>
      </c>
      <c r="B447" s="1" t="n">
        <v>45279</v>
      </c>
      <c r="C447" s="1" t="n">
        <v>45736</v>
      </c>
      <c r="D447" t="inlineStr">
        <is>
          <t>ÖREBRO LÄN</t>
        </is>
      </c>
      <c r="E447" t="inlineStr">
        <is>
          <t>HALLSBERG</t>
        </is>
      </c>
      <c r="G447" t="n">
        <v>5.5</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45736</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45736</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45736</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45736</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45736</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45736</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45736</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45736</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45736</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45736</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45736</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45736</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45736</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45736</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45736</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45736</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45736</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45736</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45736</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45736</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45736</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45736</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45736</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45736</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45736</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45736</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45736</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45736</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45736</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45736</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45736</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45736</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45736</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45736</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45736</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45736</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45736</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45736</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45736</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45736</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45736</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45736</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45736</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45736</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45736</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45736</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45736</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45736</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45736</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45736</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45736</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45736</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45736</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45736</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45736</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45736</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45736</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45736</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45736</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45736</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45736</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45736</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45736</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45736</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45736</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45736</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45736</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45736</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45736</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45736</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45736</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45736</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45736</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45736</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45736</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45736</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45736</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45736</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45736</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45736</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45736</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45736</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45736</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45736</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45736</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45736</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45736</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45736</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45736</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45736</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45736</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45736</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45736</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45736</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45736</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45736</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45736</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45736</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45736</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45736</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45736</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45736</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45736</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45736</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45736</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45736</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45736</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45736</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45736</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45736</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45736</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45736</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45736</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45736</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45736</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45736</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45736</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45736</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45736</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45736</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45736</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45736</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45736</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45736</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45736</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45736</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45736</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45736</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45736</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45736</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45736</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45736</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45736</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45736</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45736</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45736</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45736</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45736</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45736</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45736</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9928-2025</t>
        </is>
      </c>
      <c r="B588" s="1" t="n">
        <v>45717</v>
      </c>
      <c r="C588" s="1" t="n">
        <v>45736</v>
      </c>
      <c r="D588" t="inlineStr">
        <is>
          <t>ÖREBRO LÄN</t>
        </is>
      </c>
      <c r="E588" t="inlineStr">
        <is>
          <t>HALLSBERG</t>
        </is>
      </c>
      <c r="F588" t="inlineStr">
        <is>
          <t>Sveaskog</t>
        </is>
      </c>
      <c r="G588" t="n">
        <v>9.9</v>
      </c>
      <c r="H588" t="n">
        <v>0</v>
      </c>
      <c r="I588" t="n">
        <v>0</v>
      </c>
      <c r="J588" t="n">
        <v>0</v>
      </c>
      <c r="K588" t="n">
        <v>0</v>
      </c>
      <c r="L588" t="n">
        <v>0</v>
      </c>
      <c r="M588" t="n">
        <v>0</v>
      </c>
      <c r="N588" t="n">
        <v>0</v>
      </c>
      <c r="O588" t="n">
        <v>0</v>
      </c>
      <c r="P588" t="n">
        <v>0</v>
      </c>
      <c r="Q588" t="n">
        <v>0</v>
      </c>
      <c r="R588" s="2" t="inlineStr"/>
    </row>
    <row r="589" ht="15" customHeight="1">
      <c r="A589" t="inlineStr">
        <is>
          <t>A 9932-2025</t>
        </is>
      </c>
      <c r="B589" s="1" t="n">
        <v>45717</v>
      </c>
      <c r="C589" s="1" t="n">
        <v>45736</v>
      </c>
      <c r="D589" t="inlineStr">
        <is>
          <t>ÖREBRO LÄN</t>
        </is>
      </c>
      <c r="E589" t="inlineStr">
        <is>
          <t>HALLSBERG</t>
        </is>
      </c>
      <c r="F589" t="inlineStr">
        <is>
          <t>Sveaskog</t>
        </is>
      </c>
      <c r="G589" t="n">
        <v>4.6</v>
      </c>
      <c r="H589" t="n">
        <v>0</v>
      </c>
      <c r="I589" t="n">
        <v>0</v>
      </c>
      <c r="J589" t="n">
        <v>0</v>
      </c>
      <c r="K589" t="n">
        <v>0</v>
      </c>
      <c r="L589" t="n">
        <v>0</v>
      </c>
      <c r="M589" t="n">
        <v>0</v>
      </c>
      <c r="N589" t="n">
        <v>0</v>
      </c>
      <c r="O589" t="n">
        <v>0</v>
      </c>
      <c r="P589" t="n">
        <v>0</v>
      </c>
      <c r="Q589" t="n">
        <v>0</v>
      </c>
      <c r="R589" s="2" t="inlineStr"/>
    </row>
    <row r="590" ht="15" customHeight="1">
      <c r="A590" t="inlineStr">
        <is>
          <t>A 9926-2025</t>
        </is>
      </c>
      <c r="B590" s="1" t="n">
        <v>45717</v>
      </c>
      <c r="C590" s="1" t="n">
        <v>45736</v>
      </c>
      <c r="D590" t="inlineStr">
        <is>
          <t>ÖREBRO LÄN</t>
        </is>
      </c>
      <c r="E590" t="inlineStr">
        <is>
          <t>HALLSBERG</t>
        </is>
      </c>
      <c r="F590" t="inlineStr">
        <is>
          <t>Sveaskog</t>
        </is>
      </c>
      <c r="G590" t="n">
        <v>7.7</v>
      </c>
      <c r="H590" t="n">
        <v>0</v>
      </c>
      <c r="I590" t="n">
        <v>0</v>
      </c>
      <c r="J590" t="n">
        <v>0</v>
      </c>
      <c r="K590" t="n">
        <v>0</v>
      </c>
      <c r="L590" t="n">
        <v>0</v>
      </c>
      <c r="M590" t="n">
        <v>0</v>
      </c>
      <c r="N590" t="n">
        <v>0</v>
      </c>
      <c r="O590" t="n">
        <v>0</v>
      </c>
      <c r="P590" t="n">
        <v>0</v>
      </c>
      <c r="Q590" t="n">
        <v>0</v>
      </c>
      <c r="R590" s="2" t="inlineStr"/>
    </row>
    <row r="591" ht="15" customHeight="1">
      <c r="A591" t="inlineStr">
        <is>
          <t>A 9930-2025</t>
        </is>
      </c>
      <c r="B591" s="1" t="n">
        <v>45717</v>
      </c>
      <c r="C591" s="1" t="n">
        <v>45736</v>
      </c>
      <c r="D591" t="inlineStr">
        <is>
          <t>ÖREBRO LÄN</t>
        </is>
      </c>
      <c r="E591" t="inlineStr">
        <is>
          <t>HALLSBERG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9927-2025</t>
        </is>
      </c>
      <c r="B592" s="1" t="n">
        <v>45717</v>
      </c>
      <c r="C592" s="1" t="n">
        <v>45736</v>
      </c>
      <c r="D592" t="inlineStr">
        <is>
          <t>ÖREBRO LÄN</t>
        </is>
      </c>
      <c r="E592" t="inlineStr">
        <is>
          <t>HALLSBERG</t>
        </is>
      </c>
      <c r="F592" t="inlineStr">
        <is>
          <t>Sveaskog</t>
        </is>
      </c>
      <c r="G592" t="n">
        <v>4.1</v>
      </c>
      <c r="H592" t="n">
        <v>0</v>
      </c>
      <c r="I592" t="n">
        <v>0</v>
      </c>
      <c r="J592" t="n">
        <v>0</v>
      </c>
      <c r="K592" t="n">
        <v>0</v>
      </c>
      <c r="L592" t="n">
        <v>0</v>
      </c>
      <c r="M592" t="n">
        <v>0</v>
      </c>
      <c r="N592" t="n">
        <v>0</v>
      </c>
      <c r="O592" t="n">
        <v>0</v>
      </c>
      <c r="P592" t="n">
        <v>0</v>
      </c>
      <c r="Q592" t="n">
        <v>0</v>
      </c>
      <c r="R592" s="2" t="inlineStr"/>
    </row>
    <row r="593" ht="15" customHeight="1">
      <c r="A593" t="inlineStr">
        <is>
          <t>A 9931-2025</t>
        </is>
      </c>
      <c r="B593" s="1" t="n">
        <v>45717</v>
      </c>
      <c r="C593" s="1" t="n">
        <v>45736</v>
      </c>
      <c r="D593" t="inlineStr">
        <is>
          <t>ÖREBRO LÄN</t>
        </is>
      </c>
      <c r="E593" t="inlineStr">
        <is>
          <t>HALLSBERG</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45736</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9933-2025</t>
        </is>
      </c>
      <c r="B595" s="1" t="n">
        <v>45717</v>
      </c>
      <c r="C595" s="1" t="n">
        <v>45736</v>
      </c>
      <c r="D595" t="inlineStr">
        <is>
          <t>ÖREBRO LÄN</t>
        </is>
      </c>
      <c r="E595" t="inlineStr">
        <is>
          <t>HALLSBERG</t>
        </is>
      </c>
      <c r="F595" t="inlineStr">
        <is>
          <t>Sveaskog</t>
        </is>
      </c>
      <c r="G595" t="n">
        <v>1.8</v>
      </c>
      <c r="H595" t="n">
        <v>0</v>
      </c>
      <c r="I595" t="n">
        <v>0</v>
      </c>
      <c r="J595" t="n">
        <v>0</v>
      </c>
      <c r="K595" t="n">
        <v>0</v>
      </c>
      <c r="L595" t="n">
        <v>0</v>
      </c>
      <c r="M595" t="n">
        <v>0</v>
      </c>
      <c r="N595" t="n">
        <v>0</v>
      </c>
      <c r="O595" t="n">
        <v>0</v>
      </c>
      <c r="P595" t="n">
        <v>0</v>
      </c>
      <c r="Q595" t="n">
        <v>0</v>
      </c>
      <c r="R595" s="2" t="inlineStr"/>
    </row>
    <row r="596" ht="15" customHeight="1">
      <c r="A596" t="inlineStr">
        <is>
          <t>A 11003-2025</t>
        </is>
      </c>
      <c r="B596" s="1" t="n">
        <v>45723</v>
      </c>
      <c r="C596" s="1" t="n">
        <v>45736</v>
      </c>
      <c r="D596" t="inlineStr">
        <is>
          <t>ÖREBRO LÄN</t>
        </is>
      </c>
      <c r="E596" t="inlineStr">
        <is>
          <t>HALLSBERG</t>
        </is>
      </c>
      <c r="G596" t="n">
        <v>6.8</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45736</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11034-2025</t>
        </is>
      </c>
      <c r="B598" s="1" t="n">
        <v>45723</v>
      </c>
      <c r="C598" s="1" t="n">
        <v>45736</v>
      </c>
      <c r="D598" t="inlineStr">
        <is>
          <t>ÖREBRO LÄN</t>
        </is>
      </c>
      <c r="E598" t="inlineStr">
        <is>
          <t>HALLSBERG</t>
        </is>
      </c>
      <c r="G598" t="n">
        <v>4.8</v>
      </c>
      <c r="H598" t="n">
        <v>0</v>
      </c>
      <c r="I598" t="n">
        <v>0</v>
      </c>
      <c r="J598" t="n">
        <v>0</v>
      </c>
      <c r="K598" t="n">
        <v>0</v>
      </c>
      <c r="L598" t="n">
        <v>0</v>
      </c>
      <c r="M598" t="n">
        <v>0</v>
      </c>
      <c r="N598" t="n">
        <v>0</v>
      </c>
      <c r="O598" t="n">
        <v>0</v>
      </c>
      <c r="P598" t="n">
        <v>0</v>
      </c>
      <c r="Q598" t="n">
        <v>0</v>
      </c>
      <c r="R598" s="2" t="inlineStr"/>
    </row>
    <row r="599" ht="15" customHeight="1">
      <c r="A599" t="inlineStr">
        <is>
          <t>A 11358-2025</t>
        </is>
      </c>
      <c r="B599" s="1" t="n">
        <v>45726</v>
      </c>
      <c r="C599" s="1" t="n">
        <v>45736</v>
      </c>
      <c r="D599" t="inlineStr">
        <is>
          <t>ÖREBRO LÄN</t>
        </is>
      </c>
      <c r="E599" t="inlineStr">
        <is>
          <t>HALLSBERG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11415-2025</t>
        </is>
      </c>
      <c r="B600" s="1" t="n">
        <v>45726</v>
      </c>
      <c r="C600" s="1" t="n">
        <v>45736</v>
      </c>
      <c r="D600" t="inlineStr">
        <is>
          <t>ÖREBRO LÄN</t>
        </is>
      </c>
      <c r="E600" t="inlineStr">
        <is>
          <t>HALLSBERG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11355-2025</t>
        </is>
      </c>
      <c r="B601" s="1" t="n">
        <v>45726</v>
      </c>
      <c r="C601" s="1" t="n">
        <v>45736</v>
      </c>
      <c r="D601" t="inlineStr">
        <is>
          <t>ÖREBRO LÄN</t>
        </is>
      </c>
      <c r="E601" t="inlineStr">
        <is>
          <t>HALLSBERG</t>
        </is>
      </c>
      <c r="F601" t="inlineStr">
        <is>
          <t>Sveaskog</t>
        </is>
      </c>
      <c r="G601" t="n">
        <v>5.8</v>
      </c>
      <c r="H601" t="n">
        <v>0</v>
      </c>
      <c r="I601" t="n">
        <v>0</v>
      </c>
      <c r="J601" t="n">
        <v>0</v>
      </c>
      <c r="K601" t="n">
        <v>0</v>
      </c>
      <c r="L601" t="n">
        <v>0</v>
      </c>
      <c r="M601" t="n">
        <v>0</v>
      </c>
      <c r="N601" t="n">
        <v>0</v>
      </c>
      <c r="O601" t="n">
        <v>0</v>
      </c>
      <c r="P601" t="n">
        <v>0</v>
      </c>
      <c r="Q601" t="n">
        <v>0</v>
      </c>
      <c r="R601" s="2" t="inlineStr"/>
    </row>
    <row r="602" ht="15" customHeight="1">
      <c r="A602" t="inlineStr">
        <is>
          <t>A 11416-2025</t>
        </is>
      </c>
      <c r="B602" s="1" t="n">
        <v>45726</v>
      </c>
      <c r="C602" s="1" t="n">
        <v>45736</v>
      </c>
      <c r="D602" t="inlineStr">
        <is>
          <t>ÖREBRO LÄN</t>
        </is>
      </c>
      <c r="E602" t="inlineStr">
        <is>
          <t>HALLSBERG</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45736</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11925-2025</t>
        </is>
      </c>
      <c r="B604" s="1" t="n">
        <v>45728</v>
      </c>
      <c r="C604" s="1" t="n">
        <v>45736</v>
      </c>
      <c r="D604" t="inlineStr">
        <is>
          <t>ÖREBRO LÄN</t>
        </is>
      </c>
      <c r="E604" t="inlineStr">
        <is>
          <t>HALLSBERG</t>
        </is>
      </c>
      <c r="F604" t="inlineStr">
        <is>
          <t>Allmännings- och besparingsskogar</t>
        </is>
      </c>
      <c r="G604" t="n">
        <v>0.4</v>
      </c>
      <c r="H604" t="n">
        <v>0</v>
      </c>
      <c r="I604" t="n">
        <v>0</v>
      </c>
      <c r="J604" t="n">
        <v>0</v>
      </c>
      <c r="K604" t="n">
        <v>0</v>
      </c>
      <c r="L604" t="n">
        <v>0</v>
      </c>
      <c r="M604" t="n">
        <v>0</v>
      </c>
      <c r="N604" t="n">
        <v>0</v>
      </c>
      <c r="O604" t="n">
        <v>0</v>
      </c>
      <c r="P604" t="n">
        <v>0</v>
      </c>
      <c r="Q604" t="n">
        <v>0</v>
      </c>
      <c r="R604" s="2" t="inlineStr"/>
    </row>
    <row r="605" ht="15" customHeight="1">
      <c r="A605" t="inlineStr">
        <is>
          <t>A 11984-2025</t>
        </is>
      </c>
      <c r="B605" s="1" t="n">
        <v>45728</v>
      </c>
      <c r="C605" s="1" t="n">
        <v>45736</v>
      </c>
      <c r="D605" t="inlineStr">
        <is>
          <t>ÖREBRO LÄN</t>
        </is>
      </c>
      <c r="E605" t="inlineStr">
        <is>
          <t>HALLSBERG</t>
        </is>
      </c>
      <c r="F605" t="inlineStr">
        <is>
          <t>Sveaskog</t>
        </is>
      </c>
      <c r="G605" t="n">
        <v>5</v>
      </c>
      <c r="H605" t="n">
        <v>0</v>
      </c>
      <c r="I605" t="n">
        <v>0</v>
      </c>
      <c r="J605" t="n">
        <v>0</v>
      </c>
      <c r="K605" t="n">
        <v>0</v>
      </c>
      <c r="L605" t="n">
        <v>0</v>
      </c>
      <c r="M605" t="n">
        <v>0</v>
      </c>
      <c r="N605" t="n">
        <v>0</v>
      </c>
      <c r="O605" t="n">
        <v>0</v>
      </c>
      <c r="P605" t="n">
        <v>0</v>
      </c>
      <c r="Q605" t="n">
        <v>0</v>
      </c>
      <c r="R605" s="2" t="inlineStr"/>
    </row>
    <row r="606" ht="15" customHeight="1">
      <c r="A606" t="inlineStr">
        <is>
          <t>A 11988-2025</t>
        </is>
      </c>
      <c r="B606" s="1" t="n">
        <v>45728</v>
      </c>
      <c r="C606" s="1" t="n">
        <v>45736</v>
      </c>
      <c r="D606" t="inlineStr">
        <is>
          <t>ÖREBRO LÄN</t>
        </is>
      </c>
      <c r="E606" t="inlineStr">
        <is>
          <t>HALLSBERG</t>
        </is>
      </c>
      <c r="F606" t="inlineStr">
        <is>
          <t>Sveaskog</t>
        </is>
      </c>
      <c r="G606" t="n">
        <v>3.5</v>
      </c>
      <c r="H606" t="n">
        <v>0</v>
      </c>
      <c r="I606" t="n">
        <v>0</v>
      </c>
      <c r="J606" t="n">
        <v>0</v>
      </c>
      <c r="K606" t="n">
        <v>0</v>
      </c>
      <c r="L606" t="n">
        <v>0</v>
      </c>
      <c r="M606" t="n">
        <v>0</v>
      </c>
      <c r="N606" t="n">
        <v>0</v>
      </c>
      <c r="O606" t="n">
        <v>0</v>
      </c>
      <c r="P606" t="n">
        <v>0</v>
      </c>
      <c r="Q606" t="n">
        <v>0</v>
      </c>
      <c r="R606" s="2" t="inlineStr"/>
    </row>
    <row r="607" ht="15" customHeight="1">
      <c r="A607" t="inlineStr">
        <is>
          <t>A 12002-2025</t>
        </is>
      </c>
      <c r="B607" s="1" t="n">
        <v>45728</v>
      </c>
      <c r="C607" s="1" t="n">
        <v>45736</v>
      </c>
      <c r="D607" t="inlineStr">
        <is>
          <t>ÖREBRO LÄN</t>
        </is>
      </c>
      <c r="E607" t="inlineStr">
        <is>
          <t>HALLSBERG</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11993-2025</t>
        </is>
      </c>
      <c r="B608" s="1" t="n">
        <v>45728</v>
      </c>
      <c r="C608" s="1" t="n">
        <v>45736</v>
      </c>
      <c r="D608" t="inlineStr">
        <is>
          <t>ÖREBRO LÄN</t>
        </is>
      </c>
      <c r="E608" t="inlineStr">
        <is>
          <t>HALLSBERG</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11995-2025</t>
        </is>
      </c>
      <c r="B609" s="1" t="n">
        <v>45728</v>
      </c>
      <c r="C609" s="1" t="n">
        <v>45736</v>
      </c>
      <c r="D609" t="inlineStr">
        <is>
          <t>ÖREBRO LÄN</t>
        </is>
      </c>
      <c r="E609" t="inlineStr">
        <is>
          <t>HALLSBERG</t>
        </is>
      </c>
      <c r="F609" t="inlineStr">
        <is>
          <t>Sveaskog</t>
        </is>
      </c>
      <c r="G609" t="n">
        <v>2</v>
      </c>
      <c r="H609" t="n">
        <v>0</v>
      </c>
      <c r="I609" t="n">
        <v>0</v>
      </c>
      <c r="J609" t="n">
        <v>0</v>
      </c>
      <c r="K609" t="n">
        <v>0</v>
      </c>
      <c r="L609" t="n">
        <v>0</v>
      </c>
      <c r="M609" t="n">
        <v>0</v>
      </c>
      <c r="N609" t="n">
        <v>0</v>
      </c>
      <c r="O609" t="n">
        <v>0</v>
      </c>
      <c r="P609" t="n">
        <v>0</v>
      </c>
      <c r="Q609" t="n">
        <v>0</v>
      </c>
      <c r="R609" s="2" t="inlineStr"/>
    </row>
    <row r="610" ht="15" customHeight="1">
      <c r="A610" t="inlineStr">
        <is>
          <t>A 12019-2025</t>
        </is>
      </c>
      <c r="B610" s="1" t="n">
        <v>45728</v>
      </c>
      <c r="C610" s="1" t="n">
        <v>45736</v>
      </c>
      <c r="D610" t="inlineStr">
        <is>
          <t>ÖREBRO LÄN</t>
        </is>
      </c>
      <c r="E610" t="inlineStr">
        <is>
          <t>HALLSBERG</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12008-2025</t>
        </is>
      </c>
      <c r="B611" s="1" t="n">
        <v>45728</v>
      </c>
      <c r="C611" s="1" t="n">
        <v>45736</v>
      </c>
      <c r="D611" t="inlineStr">
        <is>
          <t>ÖREBRO LÄN</t>
        </is>
      </c>
      <c r="E611" t="inlineStr">
        <is>
          <t>HALLSBERG</t>
        </is>
      </c>
      <c r="F611" t="inlineStr">
        <is>
          <t>Sveaskog</t>
        </is>
      </c>
      <c r="G611" t="n">
        <v>1.9</v>
      </c>
      <c r="H611" t="n">
        <v>0</v>
      </c>
      <c r="I611" t="n">
        <v>0</v>
      </c>
      <c r="J611" t="n">
        <v>0</v>
      </c>
      <c r="K611" t="n">
        <v>0</v>
      </c>
      <c r="L611" t="n">
        <v>0</v>
      </c>
      <c r="M611" t="n">
        <v>0</v>
      </c>
      <c r="N611" t="n">
        <v>0</v>
      </c>
      <c r="O611" t="n">
        <v>0</v>
      </c>
      <c r="P611" t="n">
        <v>0</v>
      </c>
      <c r="Q611" t="n">
        <v>0</v>
      </c>
      <c r="R611" s="2" t="inlineStr"/>
    </row>
    <row r="612" ht="15" customHeight="1">
      <c r="A612" t="inlineStr">
        <is>
          <t>A 12014-2025</t>
        </is>
      </c>
      <c r="B612" s="1" t="n">
        <v>45728</v>
      </c>
      <c r="C612" s="1" t="n">
        <v>45736</v>
      </c>
      <c r="D612" t="inlineStr">
        <is>
          <t>ÖREBRO LÄN</t>
        </is>
      </c>
      <c r="E612" t="inlineStr">
        <is>
          <t>HALLSBERG</t>
        </is>
      </c>
      <c r="F612" t="inlineStr">
        <is>
          <t>Sveaskog</t>
        </is>
      </c>
      <c r="G612" t="n">
        <v>4.5</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45736</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12234-2025</t>
        </is>
      </c>
      <c r="B614" s="1" t="n">
        <v>45729</v>
      </c>
      <c r="C614" s="1" t="n">
        <v>45736</v>
      </c>
      <c r="D614" t="inlineStr">
        <is>
          <t>ÖREBRO LÄN</t>
        </is>
      </c>
      <c r="E614" t="inlineStr">
        <is>
          <t>HALLSBERG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12239-2025</t>
        </is>
      </c>
      <c r="B615" s="1" t="n">
        <v>45729</v>
      </c>
      <c r="C615" s="1" t="n">
        <v>45736</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c r="A616" t="inlineStr">
        <is>
          <t>A 12237-2025</t>
        </is>
      </c>
      <c r="B616" s="1" t="n">
        <v>45729</v>
      </c>
      <c r="C616" s="1" t="n">
        <v>45736</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2025-03-20T17:37:23Z</dcterms:created>
  <dcterms:modified xmlns:dcterms="http://purl.org/dc/terms/" xmlns:xsi="http://www.w3.org/2001/XMLSchema-instance" xsi:type="dcterms:W3CDTF">2025-03-20T17:37:24Z</dcterms:modified>
</cp:coreProperties>
</file>