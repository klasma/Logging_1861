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45474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45474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45474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45474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45474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45474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45474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45474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45474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45474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45474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45474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60538-2020</t>
        </is>
      </c>
      <c r="B14" s="1" t="n">
        <v>44153</v>
      </c>
      <c r="C14" s="1" t="n">
        <v>45474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5.2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Druvfingersvamp
Koralltaggsvamp</t>
        </is>
      </c>
      <c r="S14">
        <f>HYPERLINK("https://klasma.github.io/Logging_1861/artfynd/A 60538-2020 artfynd.xlsx", "A 60538-2020")</f>
        <v/>
      </c>
      <c r="T14">
        <f>HYPERLINK("https://klasma.github.io/Logging_1861/kartor/A 60538-2020 karta.png", "A 60538-2020")</f>
        <v/>
      </c>
      <c r="V14">
        <f>HYPERLINK("https://klasma.github.io/Logging_1861/klagomål/A 60538-2020 FSC-klagomål.docx", "A 60538-2020")</f>
        <v/>
      </c>
      <c r="W14">
        <f>HYPERLINK("https://klasma.github.io/Logging_1861/klagomålsmail/A 60538-2020 FSC-klagomål mail.docx", "A 60538-2020")</f>
        <v/>
      </c>
      <c r="X14">
        <f>HYPERLINK("https://klasma.github.io/Logging_1861/tillsyn/A 60538-2020 tillsynsbegäran.docx", "A 60538-2020")</f>
        <v/>
      </c>
      <c r="Y14">
        <f>HYPERLINK("https://klasma.github.io/Logging_1861/tillsynsmail/A 60538-2020 tillsynsbegäran mail.docx", "A 60538-2020")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45474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17532-2022</t>
        </is>
      </c>
      <c r="B16" s="1" t="n">
        <v>44679</v>
      </c>
      <c r="C16" s="1" t="n">
        <v>45474</v>
      </c>
      <c r="D16" t="inlineStr">
        <is>
          <t>ÖREBRO LÄN</t>
        </is>
      </c>
      <c r="E16" t="inlineStr">
        <is>
          <t>HALLSBERG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Blåsippa</t>
        </is>
      </c>
      <c r="S16">
        <f>HYPERLINK("https://klasma.github.io/Logging_1861/artfynd/A 17532-2022 artfynd.xlsx", "A 17532-2022")</f>
        <v/>
      </c>
      <c r="T16">
        <f>HYPERLINK("https://klasma.github.io/Logging_1861/kartor/A 17532-2022 karta.png", "A 17532-2022")</f>
        <v/>
      </c>
      <c r="V16">
        <f>HYPERLINK("https://klasma.github.io/Logging_1861/klagomål/A 17532-2022 FSC-klagomål.docx", "A 17532-2022")</f>
        <v/>
      </c>
      <c r="W16">
        <f>HYPERLINK("https://klasma.github.io/Logging_1861/klagomålsmail/A 17532-2022 FSC-klagomål mail.docx", "A 17532-2022")</f>
        <v/>
      </c>
      <c r="X16">
        <f>HYPERLINK("https://klasma.github.io/Logging_1861/tillsyn/A 17532-2022 tillsynsbegäran.docx", "A 17532-2022")</f>
        <v/>
      </c>
      <c r="Y16">
        <f>HYPERLINK("https://klasma.github.io/Logging_1861/tillsynsmail/A 17532-2022 tillsynsbegäran mail.docx", "A 17532-2022")</f>
        <v/>
      </c>
    </row>
    <row r="17" ht="15" customHeight="1">
      <c r="A17" t="inlineStr">
        <is>
          <t>A 30594-2022</t>
        </is>
      </c>
      <c r="B17" s="1" t="n">
        <v>44762</v>
      </c>
      <c r="C17" s="1" t="n">
        <v>45474</v>
      </c>
      <c r="D17" t="inlineStr">
        <is>
          <t>ÖREBRO LÄN</t>
        </is>
      </c>
      <c r="E17" t="inlineStr">
        <is>
          <t>HALLSBERG</t>
        </is>
      </c>
      <c r="G17" t="n">
        <v>4.9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Nattviol
Blåsippa</t>
        </is>
      </c>
      <c r="S17">
        <f>HYPERLINK("https://klasma.github.io/Logging_1861/artfynd/A 30594-2022 artfynd.xlsx", "A 30594-2022")</f>
        <v/>
      </c>
      <c r="T17">
        <f>HYPERLINK("https://klasma.github.io/Logging_1861/kartor/A 30594-2022 karta.png", "A 30594-2022")</f>
        <v/>
      </c>
      <c r="V17">
        <f>HYPERLINK("https://klasma.github.io/Logging_1861/klagomål/A 30594-2022 FSC-klagomål.docx", "A 30594-2022")</f>
        <v/>
      </c>
      <c r="W17">
        <f>HYPERLINK("https://klasma.github.io/Logging_1861/klagomålsmail/A 30594-2022 FSC-klagomål mail.docx", "A 30594-2022")</f>
        <v/>
      </c>
      <c r="X17">
        <f>HYPERLINK("https://klasma.github.io/Logging_1861/tillsyn/A 30594-2022 tillsynsbegäran.docx", "A 30594-2022")</f>
        <v/>
      </c>
      <c r="Y17">
        <f>HYPERLINK("https://klasma.github.io/Logging_1861/tillsynsmail/A 30594-2022 tillsynsbegäran mail.docx", "A 30594-2022")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45474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20540-2023</t>
        </is>
      </c>
      <c r="B19" s="1" t="n">
        <v>45057</v>
      </c>
      <c r="C19" s="1" t="n">
        <v>45474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Tallfingersvamp</t>
        </is>
      </c>
      <c r="S19">
        <f>HYPERLINK("https://klasma.github.io/Logging_1861/artfynd/A 20540-2023 artfynd.xlsx", "A 20540-2023")</f>
        <v/>
      </c>
      <c r="T19">
        <f>HYPERLINK("https://klasma.github.io/Logging_1861/kartor/A 20540-2023 karta.png", "A 20540-2023")</f>
        <v/>
      </c>
      <c r="V19">
        <f>HYPERLINK("https://klasma.github.io/Logging_1861/klagomål/A 20540-2023 FSC-klagomål.docx", "A 20540-2023")</f>
        <v/>
      </c>
      <c r="W19">
        <f>HYPERLINK("https://klasma.github.io/Logging_1861/klagomålsmail/A 20540-2023 FSC-klagomål mail.docx", "A 20540-2023")</f>
        <v/>
      </c>
      <c r="X19">
        <f>HYPERLINK("https://klasma.github.io/Logging_1861/tillsyn/A 20540-2023 tillsynsbegäran.docx", "A 20540-2023")</f>
        <v/>
      </c>
      <c r="Y19">
        <f>HYPERLINK("https://klasma.github.io/Logging_1861/tillsynsmail/A 20540-2023 tillsynsbegäran mail.docx", "A 20540-2023")</f>
        <v/>
      </c>
    </row>
    <row r="20" ht="15" customHeight="1">
      <c r="A20" t="inlineStr">
        <is>
          <t>A 29125-2023</t>
        </is>
      </c>
      <c r="B20" s="1" t="n">
        <v>45105</v>
      </c>
      <c r="C20" s="1" t="n">
        <v>45474</v>
      </c>
      <c r="D20" t="inlineStr">
        <is>
          <t>ÖREBRO LÄN</t>
        </is>
      </c>
      <c r="E20" t="inlineStr">
        <is>
          <t>HALLSBERG</t>
        </is>
      </c>
      <c r="G20" t="n">
        <v>12.1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Göktyta</t>
        </is>
      </c>
      <c r="S20">
        <f>HYPERLINK("https://klasma.github.io/Logging_1861/artfynd/A 29125-2023 artfynd.xlsx", "A 29125-2023")</f>
        <v/>
      </c>
      <c r="T20">
        <f>HYPERLINK("https://klasma.github.io/Logging_1861/kartor/A 29125-2023 karta.png", "A 29125-2023")</f>
        <v/>
      </c>
      <c r="V20">
        <f>HYPERLINK("https://klasma.github.io/Logging_1861/klagomål/A 29125-2023 FSC-klagomål.docx", "A 29125-2023")</f>
        <v/>
      </c>
      <c r="W20">
        <f>HYPERLINK("https://klasma.github.io/Logging_1861/klagomålsmail/A 29125-2023 FSC-klagomål mail.docx", "A 29125-2023")</f>
        <v/>
      </c>
      <c r="X20">
        <f>HYPERLINK("https://klasma.github.io/Logging_1861/tillsyn/A 29125-2023 tillsynsbegäran.docx", "A 29125-2023")</f>
        <v/>
      </c>
      <c r="Y20">
        <f>HYPERLINK("https://klasma.github.io/Logging_1861/tillsynsmail/A 29125-2023 tillsynsbegäran mail.docx", "A 29125-2023")</f>
        <v/>
      </c>
      <c r="Z20">
        <f>HYPERLINK("https://klasma.github.io/Logging_1861/fåglar/A 29125-2023 prioriterade fågelarter.docx", "A 29125-2023")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45474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45117-2023</t>
        </is>
      </c>
      <c r="B22" s="1" t="n">
        <v>45191</v>
      </c>
      <c r="C22" s="1" t="n">
        <v>45474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20.8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Thomsons trägnagare
Vågbandad barkbock</t>
        </is>
      </c>
      <c r="S22">
        <f>HYPERLINK("https://klasma.github.io/Logging_1861/artfynd/A 45117-2023 artfynd.xlsx", "A 45117-2023")</f>
        <v/>
      </c>
      <c r="T22">
        <f>HYPERLINK("https://klasma.github.io/Logging_1861/kartor/A 45117-2023 karta.png", "A 45117-2023")</f>
        <v/>
      </c>
      <c r="V22">
        <f>HYPERLINK("https://klasma.github.io/Logging_1861/klagomål/A 45117-2023 FSC-klagomål.docx", "A 45117-2023")</f>
        <v/>
      </c>
      <c r="W22">
        <f>HYPERLINK("https://klasma.github.io/Logging_1861/klagomålsmail/A 45117-2023 FSC-klagomål mail.docx", "A 45117-2023")</f>
        <v/>
      </c>
      <c r="X22">
        <f>HYPERLINK("https://klasma.github.io/Logging_1861/tillsyn/A 45117-2023 tillsynsbegäran.docx", "A 45117-2023")</f>
        <v/>
      </c>
      <c r="Y22">
        <f>HYPERLINK("https://klasma.github.io/Logging_1861/tillsynsmail/A 45117-2023 tillsynsbegäran mail.docx", "A 45117-2023")</f>
        <v/>
      </c>
    </row>
    <row r="23" ht="15" customHeight="1">
      <c r="A23" t="inlineStr">
        <is>
          <t>A 35654-2019</t>
        </is>
      </c>
      <c r="B23" s="1" t="n">
        <v>43655</v>
      </c>
      <c r="C23" s="1" t="n">
        <v>45474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HYPERLINK("https://klasma.github.io/Logging_1861/artfynd/A 35654-2019 artfynd.xlsx", "A 35654-2019")</f>
        <v/>
      </c>
      <c r="T23">
        <f>HYPERLINK("https://klasma.github.io/Logging_1861/kartor/A 35654-2019 karta.png", "A 35654-2019")</f>
        <v/>
      </c>
      <c r="V23">
        <f>HYPERLINK("https://klasma.github.io/Logging_1861/klagomål/A 35654-2019 FSC-klagomål.docx", "A 35654-2019")</f>
        <v/>
      </c>
      <c r="W23">
        <f>HYPERLINK("https://klasma.github.io/Logging_1861/klagomålsmail/A 35654-2019 FSC-klagomål mail.docx", "A 35654-2019")</f>
        <v/>
      </c>
      <c r="X23">
        <f>HYPERLINK("https://klasma.github.io/Logging_1861/tillsyn/A 35654-2019 tillsynsbegäran.docx", "A 35654-2019")</f>
        <v/>
      </c>
      <c r="Y23">
        <f>HYPERLINK("https://klasma.github.io/Logging_1861/tillsynsmail/A 35654-2019 tillsynsbegäran mail.docx", "A 35654-2019")</f>
        <v/>
      </c>
    </row>
    <row r="24" ht="15" customHeight="1">
      <c r="A24" t="inlineStr">
        <is>
          <t>A 38446-2019</t>
        </is>
      </c>
      <c r="B24" s="1" t="n">
        <v>43685</v>
      </c>
      <c r="C24" s="1" t="n">
        <v>45474</v>
      </c>
      <c r="D24" t="inlineStr">
        <is>
          <t>ÖREBRO LÄN</t>
        </is>
      </c>
      <c r="E24" t="inlineStr">
        <is>
          <t>HALLSBERG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HYPERLINK("https://klasma.github.io/Logging_1861/artfynd/A 38446-2019 artfynd.xlsx", "A 38446-2019")</f>
        <v/>
      </c>
      <c r="T24">
        <f>HYPERLINK("https://klasma.github.io/Logging_1861/kartor/A 38446-2019 karta.png", "A 38446-2019")</f>
        <v/>
      </c>
      <c r="V24">
        <f>HYPERLINK("https://klasma.github.io/Logging_1861/klagomål/A 38446-2019 FSC-klagomål.docx", "A 38446-2019")</f>
        <v/>
      </c>
      <c r="W24">
        <f>HYPERLINK("https://klasma.github.io/Logging_1861/klagomålsmail/A 38446-2019 FSC-klagomål mail.docx", "A 38446-2019")</f>
        <v/>
      </c>
      <c r="X24">
        <f>HYPERLINK("https://klasma.github.io/Logging_1861/tillsyn/A 38446-2019 tillsynsbegäran.docx", "A 38446-2019")</f>
        <v/>
      </c>
      <c r="Y24">
        <f>HYPERLINK("https://klasma.github.io/Logging_1861/tillsynsmail/A 38446-2019 tillsynsbegäran mail.docx", "A 38446-2019")</f>
        <v/>
      </c>
    </row>
    <row r="25" ht="15" customHeight="1">
      <c r="A25" t="inlineStr">
        <is>
          <t>A 20974-2020</t>
        </is>
      </c>
      <c r="B25" s="1" t="n">
        <v>43950</v>
      </c>
      <c r="C25" s="1" t="n">
        <v>45474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HYPERLINK("https://klasma.github.io/Logging_1861/artfynd/A 20974-2020 artfynd.xlsx", "A 20974-2020")</f>
        <v/>
      </c>
      <c r="T25">
        <f>HYPERLINK("https://klasma.github.io/Logging_1861/kartor/A 20974-2020 karta.png", "A 20974-2020")</f>
        <v/>
      </c>
      <c r="V25">
        <f>HYPERLINK("https://klasma.github.io/Logging_1861/klagomål/A 20974-2020 FSC-klagomål.docx", "A 20974-2020")</f>
        <v/>
      </c>
      <c r="W25">
        <f>HYPERLINK("https://klasma.github.io/Logging_1861/klagomålsmail/A 20974-2020 FSC-klagomål mail.docx", "A 20974-2020")</f>
        <v/>
      </c>
      <c r="X25">
        <f>HYPERLINK("https://klasma.github.io/Logging_1861/tillsyn/A 20974-2020 tillsynsbegäran.docx", "A 20974-2020")</f>
        <v/>
      </c>
      <c r="Y25">
        <f>HYPERLINK("https://klasma.github.io/Logging_1861/tillsynsmail/A 20974-2020 tillsynsbegäran mail.docx", "A 20974-2020")</f>
        <v/>
      </c>
    </row>
    <row r="26" ht="15" customHeight="1">
      <c r="A26" t="inlineStr">
        <is>
          <t>A 42905-2020</t>
        </is>
      </c>
      <c r="B26" s="1" t="n">
        <v>44078</v>
      </c>
      <c r="C26" s="1" t="n">
        <v>45474</v>
      </c>
      <c r="D26" t="inlineStr">
        <is>
          <t>ÖREBRO LÄN</t>
        </is>
      </c>
      <c r="E26" t="inlineStr">
        <is>
          <t>HALLSBERG</t>
        </is>
      </c>
      <c r="G26" t="n">
        <v>9.300000000000001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HYPERLINK("https://klasma.github.io/Logging_1861/artfynd/A 42905-2020 artfynd.xlsx", "A 42905-2020")</f>
        <v/>
      </c>
      <c r="T26">
        <f>HYPERLINK("https://klasma.github.io/Logging_1861/kartor/A 42905-2020 karta.png", "A 42905-2020")</f>
        <v/>
      </c>
      <c r="V26">
        <f>HYPERLINK("https://klasma.github.io/Logging_1861/klagomål/A 42905-2020 FSC-klagomål.docx", "A 42905-2020")</f>
        <v/>
      </c>
      <c r="W26">
        <f>HYPERLINK("https://klasma.github.io/Logging_1861/klagomålsmail/A 42905-2020 FSC-klagomål mail.docx", "A 42905-2020")</f>
        <v/>
      </c>
      <c r="X26">
        <f>HYPERLINK("https://klasma.github.io/Logging_1861/tillsyn/A 42905-2020 tillsynsbegäran.docx", "A 42905-2020")</f>
        <v/>
      </c>
      <c r="Y26">
        <f>HYPERLINK("https://klasma.github.io/Logging_1861/tillsynsmail/A 42905-2020 tillsynsbegäran mail.docx", "A 42905-2020")</f>
        <v/>
      </c>
    </row>
    <row r="27" ht="15" customHeight="1">
      <c r="A27" t="inlineStr">
        <is>
          <t>A 47314-2020</t>
        </is>
      </c>
      <c r="B27" s="1" t="n">
        <v>44097</v>
      </c>
      <c r="C27" s="1" t="n">
        <v>45474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HYPERLINK("https://klasma.github.io/Logging_1861/artfynd/A 47314-2020 artfynd.xlsx", "A 47314-2020")</f>
        <v/>
      </c>
      <c r="T27">
        <f>HYPERLINK("https://klasma.github.io/Logging_1861/kartor/A 47314-2020 karta.png", "A 47314-2020")</f>
        <v/>
      </c>
      <c r="V27">
        <f>HYPERLINK("https://klasma.github.io/Logging_1861/klagomål/A 47314-2020 FSC-klagomål.docx", "A 47314-2020")</f>
        <v/>
      </c>
      <c r="W27">
        <f>HYPERLINK("https://klasma.github.io/Logging_1861/klagomålsmail/A 47314-2020 FSC-klagomål mail.docx", "A 47314-2020")</f>
        <v/>
      </c>
      <c r="X27">
        <f>HYPERLINK("https://klasma.github.io/Logging_1861/tillsyn/A 47314-2020 tillsynsbegäran.docx", "A 47314-2020")</f>
        <v/>
      </c>
      <c r="Y27">
        <f>HYPERLINK("https://klasma.github.io/Logging_1861/tillsynsmail/A 47314-2020 tillsynsbegäran mail.docx", "A 47314-2020")</f>
        <v/>
      </c>
    </row>
    <row r="28" ht="15" customHeight="1">
      <c r="A28" t="inlineStr">
        <is>
          <t>A 28140-2021</t>
        </is>
      </c>
      <c r="B28" s="1" t="n">
        <v>44355</v>
      </c>
      <c r="C28" s="1" t="n">
        <v>45474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HYPERLINK("https://klasma.github.io/Logging_1861/artfynd/A 28140-2021 artfynd.xlsx", "A 28140-2021")</f>
        <v/>
      </c>
      <c r="T28">
        <f>HYPERLINK("https://klasma.github.io/Logging_1861/kartor/A 28140-2021 karta.png", "A 28140-2021")</f>
        <v/>
      </c>
      <c r="V28">
        <f>HYPERLINK("https://klasma.github.io/Logging_1861/klagomål/A 28140-2021 FSC-klagomål.docx", "A 28140-2021")</f>
        <v/>
      </c>
      <c r="W28">
        <f>HYPERLINK("https://klasma.github.io/Logging_1861/klagomålsmail/A 28140-2021 FSC-klagomål mail.docx", "A 28140-2021")</f>
        <v/>
      </c>
      <c r="X28">
        <f>HYPERLINK("https://klasma.github.io/Logging_1861/tillsyn/A 28140-2021 tillsynsbegäran.docx", "A 28140-2021")</f>
        <v/>
      </c>
      <c r="Y28">
        <f>HYPERLINK("https://klasma.github.io/Logging_1861/tillsynsmail/A 28140-2021 tillsynsbegäran mail.docx", "A 28140-2021")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45474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19854-2022</t>
        </is>
      </c>
      <c r="B30" s="1" t="n">
        <v>44697</v>
      </c>
      <c r="C30" s="1" t="n">
        <v>45474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19854-2022 artfynd.xlsx", "A 19854-2022")</f>
        <v/>
      </c>
      <c r="T30">
        <f>HYPERLINK("https://klasma.github.io/Logging_1861/kartor/A 19854-2022 karta.png", "A 19854-2022")</f>
        <v/>
      </c>
      <c r="V30">
        <f>HYPERLINK("https://klasma.github.io/Logging_1861/klagomål/A 19854-2022 FSC-klagomål.docx", "A 19854-2022")</f>
        <v/>
      </c>
      <c r="W30">
        <f>HYPERLINK("https://klasma.github.io/Logging_1861/klagomålsmail/A 19854-2022 FSC-klagomål mail.docx", "A 19854-2022")</f>
        <v/>
      </c>
      <c r="X30">
        <f>HYPERLINK("https://klasma.github.io/Logging_1861/tillsyn/A 19854-2022 tillsynsbegäran.docx", "A 19854-2022")</f>
        <v/>
      </c>
      <c r="Y30">
        <f>HYPERLINK("https://klasma.github.io/Logging_1861/tillsynsmail/A 19854-2022 tillsynsbegäran mail.docx", "A 19854-2022")</f>
        <v/>
      </c>
    </row>
    <row r="31" ht="15" customHeight="1">
      <c r="A31" t="inlineStr">
        <is>
          <t>A 39249-2022</t>
        </is>
      </c>
      <c r="B31" s="1" t="n">
        <v>44816</v>
      </c>
      <c r="C31" s="1" t="n">
        <v>45474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HYPERLINK("https://klasma.github.io/Logging_1861/artfynd/A 39249-2022 artfynd.xlsx", "A 39249-2022")</f>
        <v/>
      </c>
      <c r="T31">
        <f>HYPERLINK("https://klasma.github.io/Logging_1861/kartor/A 39249-2022 karta.png", "A 39249-2022")</f>
        <v/>
      </c>
      <c r="V31">
        <f>HYPERLINK("https://klasma.github.io/Logging_1861/klagomål/A 39249-2022 FSC-klagomål.docx", "A 39249-2022")</f>
        <v/>
      </c>
      <c r="W31">
        <f>HYPERLINK("https://klasma.github.io/Logging_1861/klagomålsmail/A 39249-2022 FSC-klagomål mail.docx", "A 39249-2022")</f>
        <v/>
      </c>
      <c r="X31">
        <f>HYPERLINK("https://klasma.github.io/Logging_1861/tillsyn/A 39249-2022 tillsynsbegäran.docx", "A 39249-2022")</f>
        <v/>
      </c>
      <c r="Y31">
        <f>HYPERLINK("https://klasma.github.io/Logging_1861/tillsynsmail/A 39249-2022 tillsynsbegäran mail.docx", "A 39249-2022")</f>
        <v/>
      </c>
    </row>
    <row r="32" ht="15" customHeight="1">
      <c r="A32" t="inlineStr">
        <is>
          <t>A 49670-2022</t>
        </is>
      </c>
      <c r="B32" s="1" t="n">
        <v>44862</v>
      </c>
      <c r="C32" s="1" t="n">
        <v>45474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49576-2022</t>
        </is>
      </c>
      <c r="B33" s="1" t="n">
        <v>44862</v>
      </c>
      <c r="C33" s="1" t="n">
        <v>45474</v>
      </c>
      <c r="D33" t="inlineStr">
        <is>
          <t>ÖREBRO LÄN</t>
        </is>
      </c>
      <c r="E33" t="inlineStr">
        <is>
          <t>HALLSBERG</t>
        </is>
      </c>
      <c r="G33" t="n">
        <v>2.5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49576-2022 artfynd.xlsx", "A 49576-2022")</f>
        <v/>
      </c>
      <c r="T33">
        <f>HYPERLINK("https://klasma.github.io/Logging_1861/kartor/A 49576-2022 karta.png", "A 49576-2022")</f>
        <v/>
      </c>
      <c r="V33">
        <f>HYPERLINK("https://klasma.github.io/Logging_1861/klagomål/A 49576-2022 FSC-klagomål.docx", "A 49576-2022")</f>
        <v/>
      </c>
      <c r="W33">
        <f>HYPERLINK("https://klasma.github.io/Logging_1861/klagomålsmail/A 49576-2022 FSC-klagomål mail.docx", "A 49576-2022")</f>
        <v/>
      </c>
      <c r="X33">
        <f>HYPERLINK("https://klasma.github.io/Logging_1861/tillsyn/A 49576-2022 tillsynsbegäran.docx", "A 49576-2022")</f>
        <v/>
      </c>
      <c r="Y33">
        <f>HYPERLINK("https://klasma.github.io/Logging_1861/tillsynsmail/A 49576-2022 tillsynsbegäran mail.docx", "A 49576-2022")</f>
        <v/>
      </c>
    </row>
    <row r="34" ht="15" customHeight="1">
      <c r="A34" t="inlineStr">
        <is>
          <t>A 55115-2022</t>
        </is>
      </c>
      <c r="B34" s="1" t="n">
        <v>44886</v>
      </c>
      <c r="C34" s="1" t="n">
        <v>45474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364-2023</t>
        </is>
      </c>
      <c r="B35" s="1" t="n">
        <v>44929</v>
      </c>
      <c r="C35" s="1" t="n">
        <v>45474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Guldsandbi</t>
        </is>
      </c>
      <c r="S35">
        <f>HYPERLINK("https://klasma.github.io/Logging_1861/artfynd/A 364-2023 artfynd.xlsx", "A 364-2023")</f>
        <v/>
      </c>
      <c r="T35">
        <f>HYPERLINK("https://klasma.github.io/Logging_1861/kartor/A 364-2023 karta.png", "A 364-2023")</f>
        <v/>
      </c>
      <c r="V35">
        <f>HYPERLINK("https://klasma.github.io/Logging_1861/klagomål/A 364-2023 FSC-klagomål.docx", "A 364-2023")</f>
        <v/>
      </c>
      <c r="W35">
        <f>HYPERLINK("https://klasma.github.io/Logging_1861/klagomålsmail/A 364-2023 FSC-klagomål mail.docx", "A 364-2023")</f>
        <v/>
      </c>
      <c r="X35">
        <f>HYPERLINK("https://klasma.github.io/Logging_1861/tillsyn/A 364-2023 tillsynsbegäran.docx", "A 364-2023")</f>
        <v/>
      </c>
      <c r="Y35">
        <f>HYPERLINK("https://klasma.github.io/Logging_1861/tillsynsmail/A 364-2023 tillsynsbegäran mail.docx", "A 364-2023")</f>
        <v/>
      </c>
    </row>
    <row r="36" ht="15" customHeight="1">
      <c r="A36" t="inlineStr">
        <is>
          <t>A 515-2023</t>
        </is>
      </c>
      <c r="B36" s="1" t="n">
        <v>44930</v>
      </c>
      <c r="C36" s="1" t="n">
        <v>45474</v>
      </c>
      <c r="D36" t="inlineStr">
        <is>
          <t>ÖREBRO LÄN</t>
        </is>
      </c>
      <c r="E36" t="inlineStr">
        <is>
          <t>HALLSBERG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515-2023 artfynd.xlsx", "A 515-2023")</f>
        <v/>
      </c>
      <c r="T36">
        <f>HYPERLINK("https://klasma.github.io/Logging_1861/kartor/A 515-2023 karta.png", "A 515-2023")</f>
        <v/>
      </c>
      <c r="V36">
        <f>HYPERLINK("https://klasma.github.io/Logging_1861/klagomål/A 515-2023 FSC-klagomål.docx", "A 515-2023")</f>
        <v/>
      </c>
      <c r="W36">
        <f>HYPERLINK("https://klasma.github.io/Logging_1861/klagomålsmail/A 515-2023 FSC-klagomål mail.docx", "A 515-2023")</f>
        <v/>
      </c>
      <c r="X36">
        <f>HYPERLINK("https://klasma.github.io/Logging_1861/tillsyn/A 515-2023 tillsynsbegäran.docx", "A 515-2023")</f>
        <v/>
      </c>
      <c r="Y36">
        <f>HYPERLINK("https://klasma.github.io/Logging_1861/tillsynsmail/A 515-2023 tillsynsbegäran mail.docx", "A 515-2023")</f>
        <v/>
      </c>
    </row>
    <row r="37" ht="15" customHeight="1">
      <c r="A37" t="inlineStr">
        <is>
          <t>A 1195-2023</t>
        </is>
      </c>
      <c r="B37" s="1" t="n">
        <v>44935</v>
      </c>
      <c r="C37" s="1" t="n">
        <v>45474</v>
      </c>
      <c r="D37" t="inlineStr">
        <is>
          <t>ÖREBRO LÄN</t>
        </is>
      </c>
      <c r="E37" t="inlineStr">
        <is>
          <t>HALLSBERG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HYPERLINK("https://klasma.github.io/Logging_1861/artfynd/A 1195-2023 artfynd.xlsx", "A 1195-2023")</f>
        <v/>
      </c>
      <c r="T37">
        <f>HYPERLINK("https://klasma.github.io/Logging_1861/kartor/A 1195-2023 karta.png", "A 1195-2023")</f>
        <v/>
      </c>
      <c r="V37">
        <f>HYPERLINK("https://klasma.github.io/Logging_1861/klagomål/A 1195-2023 FSC-klagomål.docx", "A 1195-2023")</f>
        <v/>
      </c>
      <c r="W37">
        <f>HYPERLINK("https://klasma.github.io/Logging_1861/klagomålsmail/A 1195-2023 FSC-klagomål mail.docx", "A 1195-2023")</f>
        <v/>
      </c>
      <c r="X37">
        <f>HYPERLINK("https://klasma.github.io/Logging_1861/tillsyn/A 1195-2023 tillsynsbegäran.docx", "A 1195-2023")</f>
        <v/>
      </c>
      <c r="Y37">
        <f>HYPERLINK("https://klasma.github.io/Logging_1861/tillsynsmail/A 1195-2023 tillsynsbegäran mail.docx", "A 1195-2023")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45474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8341-2023</t>
        </is>
      </c>
      <c r="B39" s="1" t="n">
        <v>44976</v>
      </c>
      <c r="C39" s="1" t="n">
        <v>45474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HYPERLINK("https://klasma.github.io/Logging_1861/artfynd/A 8341-2023 artfynd.xlsx", "A 8341-2023")</f>
        <v/>
      </c>
      <c r="T39">
        <f>HYPERLINK("https://klasma.github.io/Logging_1861/kartor/A 8341-2023 karta.png", "A 8341-2023")</f>
        <v/>
      </c>
      <c r="V39">
        <f>HYPERLINK("https://klasma.github.io/Logging_1861/klagomål/A 8341-2023 FSC-klagomål.docx", "A 8341-2023")</f>
        <v/>
      </c>
      <c r="W39">
        <f>HYPERLINK("https://klasma.github.io/Logging_1861/klagomålsmail/A 8341-2023 FSC-klagomål mail.docx", "A 8341-2023")</f>
        <v/>
      </c>
      <c r="X39">
        <f>HYPERLINK("https://klasma.github.io/Logging_1861/tillsyn/A 8341-2023 tillsynsbegäran.docx", "A 8341-2023")</f>
        <v/>
      </c>
      <c r="Y39">
        <f>HYPERLINK("https://klasma.github.io/Logging_1861/tillsynsmail/A 8341-2023 tillsynsbegäran mail.docx", "A 8341-2023")</f>
        <v/>
      </c>
    </row>
    <row r="40" ht="15" customHeight="1">
      <c r="A40" t="inlineStr">
        <is>
          <t>A 13183-2023</t>
        </is>
      </c>
      <c r="B40" s="1" t="n">
        <v>45002</v>
      </c>
      <c r="C40" s="1" t="n">
        <v>45474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HYPERLINK("https://klasma.github.io/Logging_1861/artfynd/A 13183-2023 artfynd.xlsx", "A 13183-2023")</f>
        <v/>
      </c>
      <c r="T40">
        <f>HYPERLINK("https://klasma.github.io/Logging_1861/kartor/A 13183-2023 karta.png", "A 13183-2023")</f>
        <v/>
      </c>
      <c r="V40">
        <f>HYPERLINK("https://klasma.github.io/Logging_1861/klagomål/A 13183-2023 FSC-klagomål.docx", "A 13183-2023")</f>
        <v/>
      </c>
      <c r="W40">
        <f>HYPERLINK("https://klasma.github.io/Logging_1861/klagomålsmail/A 13183-2023 FSC-klagomål mail.docx", "A 13183-2023")</f>
        <v/>
      </c>
      <c r="X40">
        <f>HYPERLINK("https://klasma.github.io/Logging_1861/tillsyn/A 13183-2023 tillsynsbegäran.docx", "A 13183-2023")</f>
        <v/>
      </c>
      <c r="Y40">
        <f>HYPERLINK("https://klasma.github.io/Logging_1861/tillsynsmail/A 13183-2023 tillsynsbegäran mail.docx", "A 13183-2023")</f>
        <v/>
      </c>
    </row>
    <row r="41" ht="15" customHeight="1">
      <c r="A41" t="inlineStr">
        <is>
          <t>A 13844-2023</t>
        </is>
      </c>
      <c r="B41" s="1" t="n">
        <v>45007</v>
      </c>
      <c r="C41" s="1" t="n">
        <v>45474</v>
      </c>
      <c r="D41" t="inlineStr">
        <is>
          <t>ÖREBRO LÄN</t>
        </is>
      </c>
      <c r="E41" t="inlineStr">
        <is>
          <t>HALLSBERG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HYPERLINK("https://klasma.github.io/Logging_1861/artfynd/A 13844-2023 artfynd.xlsx", "A 13844-2023")</f>
        <v/>
      </c>
      <c r="T41">
        <f>HYPERLINK("https://klasma.github.io/Logging_1861/kartor/A 13844-2023 karta.png", "A 13844-2023")</f>
        <v/>
      </c>
      <c r="V41">
        <f>HYPERLINK("https://klasma.github.io/Logging_1861/klagomål/A 13844-2023 FSC-klagomål.docx", "A 13844-2023")</f>
        <v/>
      </c>
      <c r="W41">
        <f>HYPERLINK("https://klasma.github.io/Logging_1861/klagomålsmail/A 13844-2023 FSC-klagomål mail.docx", "A 13844-2023")</f>
        <v/>
      </c>
      <c r="X41">
        <f>HYPERLINK("https://klasma.github.io/Logging_1861/tillsyn/A 13844-2023 tillsynsbegäran.docx", "A 13844-2023")</f>
        <v/>
      </c>
      <c r="Y41">
        <f>HYPERLINK("https://klasma.github.io/Logging_1861/tillsynsmail/A 13844-2023 tillsynsbegäran mail.docx", "A 13844-2023")</f>
        <v/>
      </c>
    </row>
    <row r="42" ht="15" customHeight="1">
      <c r="A42" t="inlineStr">
        <is>
          <t>A 14542-2023</t>
        </is>
      </c>
      <c r="B42" s="1" t="n">
        <v>45013</v>
      </c>
      <c r="C42" s="1" t="n">
        <v>45474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20.7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Dvärgtufs</t>
        </is>
      </c>
      <c r="S42">
        <f>HYPERLINK("https://klasma.github.io/Logging_1861/artfynd/A 14542-2023 artfynd.xlsx", "A 14542-2023")</f>
        <v/>
      </c>
      <c r="T42">
        <f>HYPERLINK("https://klasma.github.io/Logging_1861/kartor/A 14542-2023 karta.png", "A 14542-2023")</f>
        <v/>
      </c>
      <c r="V42">
        <f>HYPERLINK("https://klasma.github.io/Logging_1861/klagomål/A 14542-2023 FSC-klagomål.docx", "A 14542-2023")</f>
        <v/>
      </c>
      <c r="W42">
        <f>HYPERLINK("https://klasma.github.io/Logging_1861/klagomålsmail/A 14542-2023 FSC-klagomål mail.docx", "A 14542-2023")</f>
        <v/>
      </c>
      <c r="X42">
        <f>HYPERLINK("https://klasma.github.io/Logging_1861/tillsyn/A 14542-2023 tillsynsbegäran.docx", "A 14542-2023")</f>
        <v/>
      </c>
      <c r="Y42">
        <f>HYPERLINK("https://klasma.github.io/Logging_1861/tillsynsmail/A 14542-2023 tillsynsbegäran mail.docx", "A 14542-2023")</f>
        <v/>
      </c>
    </row>
    <row r="43" ht="15" customHeight="1">
      <c r="A43" t="inlineStr">
        <is>
          <t>A 14534-2023</t>
        </is>
      </c>
      <c r="B43" s="1" t="n">
        <v>45013</v>
      </c>
      <c r="C43" s="1" t="n">
        <v>45474</v>
      </c>
      <c r="D43" t="inlineStr">
        <is>
          <t>ÖREBRO LÄN</t>
        </is>
      </c>
      <c r="E43" t="inlineStr">
        <is>
          <t>HALLSBERG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14534-2023 artfynd.xlsx", "A 14534-2023")</f>
        <v/>
      </c>
      <c r="T43">
        <f>HYPERLINK("https://klasma.github.io/Logging_1861/kartor/A 14534-2023 karta.png", "A 14534-2023")</f>
        <v/>
      </c>
      <c r="V43">
        <f>HYPERLINK("https://klasma.github.io/Logging_1861/klagomål/A 14534-2023 FSC-klagomål.docx", "A 14534-2023")</f>
        <v/>
      </c>
      <c r="W43">
        <f>HYPERLINK("https://klasma.github.io/Logging_1861/klagomålsmail/A 14534-2023 FSC-klagomål mail.docx", "A 14534-2023")</f>
        <v/>
      </c>
      <c r="X43">
        <f>HYPERLINK("https://klasma.github.io/Logging_1861/tillsyn/A 14534-2023 tillsynsbegäran.docx", "A 14534-2023")</f>
        <v/>
      </c>
      <c r="Y43">
        <f>HYPERLINK("https://klasma.github.io/Logging_1861/tillsynsmail/A 14534-2023 tillsynsbegäran mail.docx", "A 14534-2023")</f>
        <v/>
      </c>
    </row>
    <row r="44" ht="15" customHeight="1">
      <c r="A44" t="inlineStr">
        <is>
          <t>A 17018-2023</t>
        </is>
      </c>
      <c r="B44" s="1" t="n">
        <v>45034</v>
      </c>
      <c r="C44" s="1" t="n">
        <v>45474</v>
      </c>
      <c r="D44" t="inlineStr">
        <is>
          <t>ÖREBRO LÄN</t>
        </is>
      </c>
      <c r="E44" t="inlineStr">
        <is>
          <t>HALLSBERG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HYPERLINK("https://klasma.github.io/Logging_1861/artfynd/A 17018-2023 artfynd.xlsx", "A 17018-2023")</f>
        <v/>
      </c>
      <c r="T44">
        <f>HYPERLINK("https://klasma.github.io/Logging_1861/kartor/A 17018-2023 karta.png", "A 17018-2023")</f>
        <v/>
      </c>
      <c r="V44">
        <f>HYPERLINK("https://klasma.github.io/Logging_1861/klagomål/A 17018-2023 FSC-klagomål.docx", "A 17018-2023")</f>
        <v/>
      </c>
      <c r="W44">
        <f>HYPERLINK("https://klasma.github.io/Logging_1861/klagomålsmail/A 17018-2023 FSC-klagomål mail.docx", "A 17018-2023")</f>
        <v/>
      </c>
      <c r="X44">
        <f>HYPERLINK("https://klasma.github.io/Logging_1861/tillsyn/A 17018-2023 tillsynsbegäran.docx", "A 17018-2023")</f>
        <v/>
      </c>
      <c r="Y44">
        <f>HYPERLINK("https://klasma.github.io/Logging_1861/tillsynsmail/A 17018-2023 tillsynsbegäran mail.docx", "A 17018-2023")</f>
        <v/>
      </c>
    </row>
    <row r="45" ht="15" customHeight="1">
      <c r="A45" t="inlineStr">
        <is>
          <t>A 27073-2023</t>
        </is>
      </c>
      <c r="B45" s="1" t="n">
        <v>45096</v>
      </c>
      <c r="C45" s="1" t="n">
        <v>45474</v>
      </c>
      <c r="D45" t="inlineStr">
        <is>
          <t>ÖREBRO LÄN</t>
        </is>
      </c>
      <c r="E45" t="inlineStr">
        <is>
          <t>HALLSBERG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HYPERLINK("https://klasma.github.io/Logging_1861/artfynd/A 27073-2023 artfynd.xlsx", "A 27073-2023")</f>
        <v/>
      </c>
      <c r="T45">
        <f>HYPERLINK("https://klasma.github.io/Logging_1861/kartor/A 27073-2023 karta.png", "A 27073-2023")</f>
        <v/>
      </c>
      <c r="V45">
        <f>HYPERLINK("https://klasma.github.io/Logging_1861/klagomål/A 27073-2023 FSC-klagomål.docx", "A 27073-2023")</f>
        <v/>
      </c>
      <c r="W45">
        <f>HYPERLINK("https://klasma.github.io/Logging_1861/klagomålsmail/A 27073-2023 FSC-klagomål mail.docx", "A 27073-2023")</f>
        <v/>
      </c>
      <c r="X45">
        <f>HYPERLINK("https://klasma.github.io/Logging_1861/tillsyn/A 27073-2023 tillsynsbegäran.docx", "A 27073-2023")</f>
        <v/>
      </c>
      <c r="Y45">
        <f>HYPERLINK("https://klasma.github.io/Logging_1861/tillsynsmail/A 27073-2023 tillsynsbegäran mail.docx", "A 27073-2023")</f>
        <v/>
      </c>
    </row>
    <row r="46" ht="15" customHeight="1">
      <c r="A46" t="inlineStr">
        <is>
          <t>A 33101-2023</t>
        </is>
      </c>
      <c r="B46" s="1" t="n">
        <v>45126</v>
      </c>
      <c r="C46" s="1" t="n">
        <v>45474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33101-2023 artfynd.xlsx", "A 33101-2023")</f>
        <v/>
      </c>
      <c r="T46">
        <f>HYPERLINK("https://klasma.github.io/Logging_1861/kartor/A 33101-2023 karta.png", "A 33101-2023")</f>
        <v/>
      </c>
      <c r="V46">
        <f>HYPERLINK("https://klasma.github.io/Logging_1861/klagomål/A 33101-2023 FSC-klagomål.docx", "A 33101-2023")</f>
        <v/>
      </c>
      <c r="W46">
        <f>HYPERLINK("https://klasma.github.io/Logging_1861/klagomålsmail/A 33101-2023 FSC-klagomål mail.docx", "A 33101-2023")</f>
        <v/>
      </c>
      <c r="X46">
        <f>HYPERLINK("https://klasma.github.io/Logging_1861/tillsyn/A 33101-2023 tillsynsbegäran.docx", "A 33101-2023")</f>
        <v/>
      </c>
      <c r="Y46">
        <f>HYPERLINK("https://klasma.github.io/Logging_1861/tillsynsmail/A 33101-2023 tillsynsbegäran mail.docx", "A 33101-2023")</f>
        <v/>
      </c>
    </row>
    <row r="47" ht="15" customHeight="1">
      <c r="A47" t="inlineStr">
        <is>
          <t>A 44863-2023</t>
        </is>
      </c>
      <c r="B47" s="1" t="n">
        <v>45190</v>
      </c>
      <c r="C47" s="1" t="n">
        <v>45474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12.5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44863-2023 artfynd.xlsx", "A 44863-2023")</f>
        <v/>
      </c>
      <c r="T47">
        <f>HYPERLINK("https://klasma.github.io/Logging_1861/kartor/A 44863-2023 karta.png", "A 44863-2023")</f>
        <v/>
      </c>
      <c r="V47">
        <f>HYPERLINK("https://klasma.github.io/Logging_1861/klagomål/A 44863-2023 FSC-klagomål.docx", "A 44863-2023")</f>
        <v/>
      </c>
      <c r="W47">
        <f>HYPERLINK("https://klasma.github.io/Logging_1861/klagomålsmail/A 44863-2023 FSC-klagomål mail.docx", "A 44863-2023")</f>
        <v/>
      </c>
      <c r="X47">
        <f>HYPERLINK("https://klasma.github.io/Logging_1861/tillsyn/A 44863-2023 tillsynsbegäran.docx", "A 44863-2023")</f>
        <v/>
      </c>
      <c r="Y47">
        <f>HYPERLINK("https://klasma.github.io/Logging_1861/tillsynsmail/A 44863-2023 tillsynsbegäran mail.docx", "A 44863-2023")</f>
        <v/>
      </c>
    </row>
    <row r="48" ht="15" customHeight="1">
      <c r="A48" t="inlineStr">
        <is>
          <t>A 46452-2023</t>
        </is>
      </c>
      <c r="B48" s="1" t="n">
        <v>45197</v>
      </c>
      <c r="C48" s="1" t="n">
        <v>45474</v>
      </c>
      <c r="D48" t="inlineStr">
        <is>
          <t>ÖREBRO LÄN</t>
        </is>
      </c>
      <c r="E48" t="inlineStr">
        <is>
          <t>HALLSBERG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46452-2023 artfynd.xlsx", "A 46452-2023")</f>
        <v/>
      </c>
      <c r="T48">
        <f>HYPERLINK("https://klasma.github.io/Logging_1861/kartor/A 46452-2023 karta.png", "A 46452-2023")</f>
        <v/>
      </c>
      <c r="V48">
        <f>HYPERLINK("https://klasma.github.io/Logging_1861/klagomål/A 46452-2023 FSC-klagomål.docx", "A 46452-2023")</f>
        <v/>
      </c>
      <c r="W48">
        <f>HYPERLINK("https://klasma.github.io/Logging_1861/klagomålsmail/A 46452-2023 FSC-klagomål mail.docx", "A 46452-2023")</f>
        <v/>
      </c>
      <c r="X48">
        <f>HYPERLINK("https://klasma.github.io/Logging_1861/tillsyn/A 46452-2023 tillsynsbegäran.docx", "A 46452-2023")</f>
        <v/>
      </c>
      <c r="Y48">
        <f>HYPERLINK("https://klasma.github.io/Logging_1861/tillsynsmail/A 46452-2023 tillsynsbegäran mail.docx", "A 46452-2023")</f>
        <v/>
      </c>
    </row>
    <row r="49" ht="15" customHeight="1">
      <c r="A49" t="inlineStr">
        <is>
          <t>A 64697-2023</t>
        </is>
      </c>
      <c r="B49" s="1" t="n">
        <v>45281</v>
      </c>
      <c r="C49" s="1" t="n">
        <v>45474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HYPERLINK("https://klasma.github.io/Logging_1861/artfynd/A 64697-2023 artfynd.xlsx", "A 64697-2023")</f>
        <v/>
      </c>
      <c r="T49">
        <f>HYPERLINK("https://klasma.github.io/Logging_1861/kartor/A 64697-2023 karta.png", "A 64697-2023")</f>
        <v/>
      </c>
      <c r="V49">
        <f>HYPERLINK("https://klasma.github.io/Logging_1861/klagomål/A 64697-2023 FSC-klagomål.docx", "A 64697-2023")</f>
        <v/>
      </c>
      <c r="W49">
        <f>HYPERLINK("https://klasma.github.io/Logging_1861/klagomålsmail/A 64697-2023 FSC-klagomål mail.docx", "A 64697-2023")</f>
        <v/>
      </c>
      <c r="X49">
        <f>HYPERLINK("https://klasma.github.io/Logging_1861/tillsyn/A 64697-2023 tillsynsbegäran.docx", "A 64697-2023")</f>
        <v/>
      </c>
      <c r="Y49">
        <f>HYPERLINK("https://klasma.github.io/Logging_1861/tillsynsmail/A 64697-2023 tillsynsbegäran mail.docx", "A 64697-2023")</f>
        <v/>
      </c>
      <c r="Z49">
        <f>HYPERLINK("https://klasma.github.io/Logging_1861/fåglar/A 64697-2023 prioriterade fågelarter.docx", "A 64697-2023")</f>
        <v/>
      </c>
    </row>
    <row r="50" ht="15" customHeight="1">
      <c r="A50" t="inlineStr">
        <is>
          <t>A 9679-2024</t>
        </is>
      </c>
      <c r="B50" s="1" t="n">
        <v>45362</v>
      </c>
      <c r="C50" s="1" t="n">
        <v>45474</v>
      </c>
      <c r="D50" t="inlineStr">
        <is>
          <t>ÖREBRO LÄN</t>
        </is>
      </c>
      <c r="E50" t="inlineStr">
        <is>
          <t>HALLSBERG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Flagellkvastmossa</t>
        </is>
      </c>
      <c r="S50">
        <f>HYPERLINK("https://klasma.github.io/Logging_1861/artfynd/A 9679-2024 artfynd.xlsx", "A 9679-2024")</f>
        <v/>
      </c>
      <c r="T50">
        <f>HYPERLINK("https://klasma.github.io/Logging_1861/kartor/A 9679-2024 karta.png", "A 9679-2024")</f>
        <v/>
      </c>
      <c r="V50">
        <f>HYPERLINK("https://klasma.github.io/Logging_1861/klagomål/A 9679-2024 FSC-klagomål.docx", "A 9679-2024")</f>
        <v/>
      </c>
      <c r="W50">
        <f>HYPERLINK("https://klasma.github.io/Logging_1861/klagomålsmail/A 9679-2024 FSC-klagomål mail.docx", "A 9679-2024")</f>
        <v/>
      </c>
      <c r="X50">
        <f>HYPERLINK("https://klasma.github.io/Logging_1861/tillsyn/A 9679-2024 tillsynsbegäran.docx", "A 9679-2024")</f>
        <v/>
      </c>
      <c r="Y50">
        <f>HYPERLINK("https://klasma.github.io/Logging_1861/tillsynsmail/A 9679-2024 tillsynsbegäran mail.docx", "A 9679-2024")</f>
        <v/>
      </c>
    </row>
    <row r="51" ht="15" customHeight="1">
      <c r="A51" t="inlineStr">
        <is>
          <t>A 21314-2024</t>
        </is>
      </c>
      <c r="B51" s="1" t="n">
        <v>45440</v>
      </c>
      <c r="C51" s="1" t="n">
        <v>45474</v>
      </c>
      <c r="D51" t="inlineStr">
        <is>
          <t>ÖREBRO LÄN</t>
        </is>
      </c>
      <c r="E51" t="inlineStr">
        <is>
          <t>HALLSBERG</t>
        </is>
      </c>
      <c r="F51" t="inlineStr">
        <is>
          <t>Övriga Aktiebolag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HYPERLINK("https://klasma.github.io/Logging_1861/artfynd/A 21314-2024 artfynd.xlsx", "A 21314-2024")</f>
        <v/>
      </c>
      <c r="T51">
        <f>HYPERLINK("https://klasma.github.io/Logging_1861/kartor/A 21314-2024 karta.png", "A 21314-2024")</f>
        <v/>
      </c>
      <c r="V51">
        <f>HYPERLINK("https://klasma.github.io/Logging_1861/klagomål/A 21314-2024 FSC-klagomål.docx", "A 21314-2024")</f>
        <v/>
      </c>
      <c r="W51">
        <f>HYPERLINK("https://klasma.github.io/Logging_1861/klagomålsmail/A 21314-2024 FSC-klagomål mail.docx", "A 21314-2024")</f>
        <v/>
      </c>
      <c r="X51">
        <f>HYPERLINK("https://klasma.github.io/Logging_1861/tillsyn/A 21314-2024 tillsynsbegäran.docx", "A 21314-2024")</f>
        <v/>
      </c>
      <c r="Y51">
        <f>HYPERLINK("https://klasma.github.io/Logging_1861/tillsynsmail/A 21314-2024 tillsynsbegäran mail.docx", "A 21314-2024")</f>
        <v/>
      </c>
    </row>
    <row r="52" ht="15" customHeight="1">
      <c r="A52" t="inlineStr">
        <is>
          <t>A 17632-2019</t>
        </is>
      </c>
      <c r="B52" s="1" t="n">
        <v>43556</v>
      </c>
      <c r="C52" s="1" t="n">
        <v>45474</v>
      </c>
      <c r="D52" t="inlineStr">
        <is>
          <t>ÖREBRO LÄN</t>
        </is>
      </c>
      <c r="E52" t="inlineStr">
        <is>
          <t>HALLSBERG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18331-2019</t>
        </is>
      </c>
      <c r="B53" s="1" t="n">
        <v>43558</v>
      </c>
      <c r="C53" s="1" t="n">
        <v>45474</v>
      </c>
      <c r="D53" t="inlineStr">
        <is>
          <t>ÖREBRO LÄN</t>
        </is>
      </c>
      <c r="E53" t="inlineStr">
        <is>
          <t>HALLSBERG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20150-2019</t>
        </is>
      </c>
      <c r="B54" s="1" t="n">
        <v>43570</v>
      </c>
      <c r="C54" s="1" t="n">
        <v>45474</v>
      </c>
      <c r="D54" t="inlineStr">
        <is>
          <t>ÖREBRO LÄN</t>
        </is>
      </c>
      <c r="E54" t="inlineStr">
        <is>
          <t>HALLSBERG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21409-2019</t>
        </is>
      </c>
      <c r="B55" s="1" t="n">
        <v>43580</v>
      </c>
      <c r="C55" s="1" t="n">
        <v>45474</v>
      </c>
      <c r="D55" t="inlineStr">
        <is>
          <t>ÖREBRO LÄN</t>
        </is>
      </c>
      <c r="E55" t="inlineStr">
        <is>
          <t>HALLSBERG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22012-2019</t>
        </is>
      </c>
      <c r="B56" s="1" t="n">
        <v>43584</v>
      </c>
      <c r="C56" s="1" t="n">
        <v>45474</v>
      </c>
      <c r="D56" t="inlineStr">
        <is>
          <t>ÖREBRO LÄN</t>
        </is>
      </c>
      <c r="E56" t="inlineStr">
        <is>
          <t>HALLSBERG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22251-2019</t>
        </is>
      </c>
      <c r="B57" s="1" t="n">
        <v>43585</v>
      </c>
      <c r="C57" s="1" t="n">
        <v>45474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24729-2019</t>
        </is>
      </c>
      <c r="B58" s="1" t="n">
        <v>43601</v>
      </c>
      <c r="C58" s="1" t="n">
        <v>45474</v>
      </c>
      <c r="D58" t="inlineStr">
        <is>
          <t>ÖREBRO LÄN</t>
        </is>
      </c>
      <c r="E58" t="inlineStr">
        <is>
          <t>HALLSBERG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26435-2019</t>
        </is>
      </c>
      <c r="B59" s="1" t="n">
        <v>43607</v>
      </c>
      <c r="C59" s="1" t="n">
        <v>45474</v>
      </c>
      <c r="D59" t="inlineStr">
        <is>
          <t>ÖREBRO LÄN</t>
        </is>
      </c>
      <c r="E59" t="inlineStr">
        <is>
          <t>HALLSBERG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30236-2019</t>
        </is>
      </c>
      <c r="B60" s="1" t="n">
        <v>43634</v>
      </c>
      <c r="C60" s="1" t="n">
        <v>45474</v>
      </c>
      <c r="D60" t="inlineStr">
        <is>
          <t>ÖREBRO LÄN</t>
        </is>
      </c>
      <c r="E60" t="inlineStr">
        <is>
          <t>HALLSBERG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30347-2019</t>
        </is>
      </c>
      <c r="B61" s="1" t="n">
        <v>43634</v>
      </c>
      <c r="C61" s="1" t="n">
        <v>45474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34787-2019</t>
        </is>
      </c>
      <c r="B62" s="1" t="n">
        <v>43649</v>
      </c>
      <c r="C62" s="1" t="n">
        <v>45474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35682-2019</t>
        </is>
      </c>
      <c r="B63" s="1" t="n">
        <v>43654</v>
      </c>
      <c r="C63" s="1" t="n">
        <v>45474</v>
      </c>
      <c r="D63" t="inlineStr">
        <is>
          <t>ÖREBRO LÄN</t>
        </is>
      </c>
      <c r="E63" t="inlineStr">
        <is>
          <t>HALLSBERG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35673-2019</t>
        </is>
      </c>
      <c r="B64" s="1" t="n">
        <v>43654</v>
      </c>
      <c r="C64" s="1" t="n">
        <v>45474</v>
      </c>
      <c r="D64" t="inlineStr">
        <is>
          <t>ÖREBRO LÄN</t>
        </is>
      </c>
      <c r="E64" t="inlineStr">
        <is>
          <t>HALLSBERG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34279-2019</t>
        </is>
      </c>
      <c r="B65" s="1" t="n">
        <v>43655</v>
      </c>
      <c r="C65" s="1" t="n">
        <v>45474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35532-2019</t>
        </is>
      </c>
      <c r="B66" s="1" t="n">
        <v>43655</v>
      </c>
      <c r="C66" s="1" t="n">
        <v>45474</v>
      </c>
      <c r="D66" t="inlineStr">
        <is>
          <t>ÖREBRO LÄN</t>
        </is>
      </c>
      <c r="E66" t="inlineStr">
        <is>
          <t>HALLSBERG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35662-2019</t>
        </is>
      </c>
      <c r="B67" s="1" t="n">
        <v>43655</v>
      </c>
      <c r="C67" s="1" t="n">
        <v>45474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34281-2019</t>
        </is>
      </c>
      <c r="B68" s="1" t="n">
        <v>43655</v>
      </c>
      <c r="C68" s="1" t="n">
        <v>45474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HYPERLINK("https://klasma.github.io/Logging_1861/knärot/A 34281-2019 karta knärot.png", "A 34281-2019")</f>
        <v/>
      </c>
      <c r="V68">
        <f>HYPERLINK("https://klasma.github.io/Logging_1861/klagomål/A 34281-2019 FSC-klagomål.docx", "A 34281-2019")</f>
        <v/>
      </c>
      <c r="W68">
        <f>HYPERLINK("https://klasma.github.io/Logging_1861/klagomålsmail/A 34281-2019 FSC-klagomål mail.docx", "A 34281-2019")</f>
        <v/>
      </c>
      <c r="X68">
        <f>HYPERLINK("https://klasma.github.io/Logging_1861/tillsyn/A 34281-2019 tillsynsbegäran.docx", "A 34281-2019")</f>
        <v/>
      </c>
      <c r="Y68">
        <f>HYPERLINK("https://klasma.github.io/Logging_1861/tillsynsmail/A 34281-2019 tillsynsbegäran mail.docx", "A 34281-2019")</f>
        <v/>
      </c>
    </row>
    <row r="69" ht="15" customHeight="1">
      <c r="A69" t="inlineStr">
        <is>
          <t>A 35665-2019</t>
        </is>
      </c>
      <c r="B69" s="1" t="n">
        <v>43655</v>
      </c>
      <c r="C69" s="1" t="n">
        <v>45474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35659-2019</t>
        </is>
      </c>
      <c r="B70" s="1" t="n">
        <v>43655</v>
      </c>
      <c r="C70" s="1" t="n">
        <v>45474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34277-2019</t>
        </is>
      </c>
      <c r="B71" s="1" t="n">
        <v>43655</v>
      </c>
      <c r="C71" s="1" t="n">
        <v>45474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37494-2019</t>
        </is>
      </c>
      <c r="B72" s="1" t="n">
        <v>43679</v>
      </c>
      <c r="C72" s="1" t="n">
        <v>45474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37493-2019</t>
        </is>
      </c>
      <c r="B73" s="1" t="n">
        <v>43679</v>
      </c>
      <c r="C73" s="1" t="n">
        <v>45474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37495-2019</t>
        </is>
      </c>
      <c r="B74" s="1" t="n">
        <v>43679</v>
      </c>
      <c r="C74" s="1" t="n">
        <v>45474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37474-2019</t>
        </is>
      </c>
      <c r="B75" s="1" t="n">
        <v>43679</v>
      </c>
      <c r="C75" s="1" t="n">
        <v>45474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37926-2019</t>
        </is>
      </c>
      <c r="B76" s="1" t="n">
        <v>43683</v>
      </c>
      <c r="C76" s="1" t="n">
        <v>45474</v>
      </c>
      <c r="D76" t="inlineStr">
        <is>
          <t>ÖREBRO LÄN</t>
        </is>
      </c>
      <c r="E76" t="inlineStr">
        <is>
          <t>HALLSBERG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39879-2019</t>
        </is>
      </c>
      <c r="B77" s="1" t="n">
        <v>43692</v>
      </c>
      <c r="C77" s="1" t="n">
        <v>45474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41182-2019</t>
        </is>
      </c>
      <c r="B78" s="1" t="n">
        <v>43698</v>
      </c>
      <c r="C78" s="1" t="n">
        <v>45474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41250-2019</t>
        </is>
      </c>
      <c r="B79" s="1" t="n">
        <v>43698</v>
      </c>
      <c r="C79" s="1" t="n">
        <v>45474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41174-2019</t>
        </is>
      </c>
      <c r="B80" s="1" t="n">
        <v>43698</v>
      </c>
      <c r="C80" s="1" t="n">
        <v>45474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41184-2019</t>
        </is>
      </c>
      <c r="B81" s="1" t="n">
        <v>43698</v>
      </c>
      <c r="C81" s="1" t="n">
        <v>45474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41345-2019</t>
        </is>
      </c>
      <c r="B82" s="1" t="n">
        <v>43698</v>
      </c>
      <c r="C82" s="1" t="n">
        <v>45474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41348-2019</t>
        </is>
      </c>
      <c r="B83" s="1" t="n">
        <v>43698</v>
      </c>
      <c r="C83" s="1" t="n">
        <v>45474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41864-2019</t>
        </is>
      </c>
      <c r="B84" s="1" t="n">
        <v>43700</v>
      </c>
      <c r="C84" s="1" t="n">
        <v>45474</v>
      </c>
      <c r="D84" t="inlineStr">
        <is>
          <t>ÖREBRO LÄN</t>
        </is>
      </c>
      <c r="E84" t="inlineStr">
        <is>
          <t>HALLSBERG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42281-2019</t>
        </is>
      </c>
      <c r="B85" s="1" t="n">
        <v>43703</v>
      </c>
      <c r="C85" s="1" t="n">
        <v>45474</v>
      </c>
      <c r="D85" t="inlineStr">
        <is>
          <t>ÖREBRO LÄN</t>
        </is>
      </c>
      <c r="E85" t="inlineStr">
        <is>
          <t>HALLSBERG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43828-2019</t>
        </is>
      </c>
      <c r="B86" s="1" t="n">
        <v>43704</v>
      </c>
      <c r="C86" s="1" t="n">
        <v>45474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43642-2019</t>
        </is>
      </c>
      <c r="B87" s="1" t="n">
        <v>43704</v>
      </c>
      <c r="C87" s="1" t="n">
        <v>45474</v>
      </c>
      <c r="D87" t="inlineStr">
        <is>
          <t>ÖREBRO LÄN</t>
        </is>
      </c>
      <c r="E87" t="inlineStr">
        <is>
          <t>HALLSBERG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43646-2019</t>
        </is>
      </c>
      <c r="B88" s="1" t="n">
        <v>43704</v>
      </c>
      <c r="C88" s="1" t="n">
        <v>45474</v>
      </c>
      <c r="D88" t="inlineStr">
        <is>
          <t>ÖREBRO LÄN</t>
        </is>
      </c>
      <c r="E88" t="inlineStr">
        <is>
          <t>HALLSBERG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43822-2019</t>
        </is>
      </c>
      <c r="B89" s="1" t="n">
        <v>43704</v>
      </c>
      <c r="C89" s="1" t="n">
        <v>45474</v>
      </c>
      <c r="D89" t="inlineStr">
        <is>
          <t>ÖREBRO LÄN</t>
        </is>
      </c>
      <c r="E89" t="inlineStr">
        <is>
          <t>HALLSBERG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43851-2019</t>
        </is>
      </c>
      <c r="B90" s="1" t="n">
        <v>43704</v>
      </c>
      <c r="C90" s="1" t="n">
        <v>45474</v>
      </c>
      <c r="D90" t="inlineStr">
        <is>
          <t>ÖREBRO LÄN</t>
        </is>
      </c>
      <c r="E90" t="inlineStr">
        <is>
          <t>HALLSBERG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47880-2019</t>
        </is>
      </c>
      <c r="B91" s="1" t="n">
        <v>43725</v>
      </c>
      <c r="C91" s="1" t="n">
        <v>45474</v>
      </c>
      <c r="D91" t="inlineStr">
        <is>
          <t>ÖREBRO LÄN</t>
        </is>
      </c>
      <c r="E91" t="inlineStr">
        <is>
          <t>HALLSBERG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47884-2019</t>
        </is>
      </c>
      <c r="B92" s="1" t="n">
        <v>43725</v>
      </c>
      <c r="C92" s="1" t="n">
        <v>45474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50543-2019</t>
        </is>
      </c>
      <c r="B93" s="1" t="n">
        <v>43735</v>
      </c>
      <c r="C93" s="1" t="n">
        <v>45474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50531-2019</t>
        </is>
      </c>
      <c r="B94" s="1" t="n">
        <v>43735</v>
      </c>
      <c r="C94" s="1" t="n">
        <v>45474</v>
      </c>
      <c r="D94" t="inlineStr">
        <is>
          <t>ÖREBRO LÄN</t>
        </is>
      </c>
      <c r="E94" t="inlineStr">
        <is>
          <t>HALLSBERG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51641-2019</t>
        </is>
      </c>
      <c r="B95" s="1" t="n">
        <v>43740</v>
      </c>
      <c r="C95" s="1" t="n">
        <v>45474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53726-2019</t>
        </is>
      </c>
      <c r="B96" s="1" t="n">
        <v>43749</v>
      </c>
      <c r="C96" s="1" t="n">
        <v>45474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55605-2019</t>
        </is>
      </c>
      <c r="B97" s="1" t="n">
        <v>43759</v>
      </c>
      <c r="C97" s="1" t="n">
        <v>45474</v>
      </c>
      <c r="D97" t="inlineStr">
        <is>
          <t>ÖREBRO LÄN</t>
        </is>
      </c>
      <c r="E97" t="inlineStr">
        <is>
          <t>HALLSBERG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55613-2019</t>
        </is>
      </c>
      <c r="B98" s="1" t="n">
        <v>43759</v>
      </c>
      <c r="C98" s="1" t="n">
        <v>45474</v>
      </c>
      <c r="D98" t="inlineStr">
        <is>
          <t>ÖREBRO LÄN</t>
        </is>
      </c>
      <c r="E98" t="inlineStr">
        <is>
          <t>HALLSBERG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56454-2019</t>
        </is>
      </c>
      <c r="B99" s="1" t="n">
        <v>43762</v>
      </c>
      <c r="C99" s="1" t="n">
        <v>45474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56421-2019</t>
        </is>
      </c>
      <c r="B100" s="1" t="n">
        <v>43762</v>
      </c>
      <c r="C100" s="1" t="n">
        <v>45474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60367-2019</t>
        </is>
      </c>
      <c r="B101" s="1" t="n">
        <v>43776</v>
      </c>
      <c r="C101" s="1" t="n">
        <v>45474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60626-2019</t>
        </is>
      </c>
      <c r="B102" s="1" t="n">
        <v>43781</v>
      </c>
      <c r="C102" s="1" t="n">
        <v>45474</v>
      </c>
      <c r="D102" t="inlineStr">
        <is>
          <t>ÖREBRO LÄN</t>
        </is>
      </c>
      <c r="E102" t="inlineStr">
        <is>
          <t>HALLSBERG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63117-2019</t>
        </is>
      </c>
      <c r="B103" s="1" t="n">
        <v>43791</v>
      </c>
      <c r="C103" s="1" t="n">
        <v>45474</v>
      </c>
      <c r="D103" t="inlineStr">
        <is>
          <t>ÖREBRO LÄN</t>
        </is>
      </c>
      <c r="E103" t="inlineStr">
        <is>
          <t>HALLSBERG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63264-2019</t>
        </is>
      </c>
      <c r="B104" s="1" t="n">
        <v>43793</v>
      </c>
      <c r="C104" s="1" t="n">
        <v>45474</v>
      </c>
      <c r="D104" t="inlineStr">
        <is>
          <t>ÖREBRO LÄN</t>
        </is>
      </c>
      <c r="E104" t="inlineStr">
        <is>
          <t>HALLSBERG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1516-2020</t>
        </is>
      </c>
      <c r="B105" s="1" t="n">
        <v>43843</v>
      </c>
      <c r="C105" s="1" t="n">
        <v>45474</v>
      </c>
      <c r="D105" t="inlineStr">
        <is>
          <t>ÖREBRO LÄN</t>
        </is>
      </c>
      <c r="E105" t="inlineStr">
        <is>
          <t>HALLSBERG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2362-2020</t>
        </is>
      </c>
      <c r="B106" s="1" t="n">
        <v>43846</v>
      </c>
      <c r="C106" s="1" t="n">
        <v>45474</v>
      </c>
      <c r="D106" t="inlineStr">
        <is>
          <t>ÖREBRO LÄN</t>
        </is>
      </c>
      <c r="E106" t="inlineStr">
        <is>
          <t>HALLSBERG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5275-2020</t>
        </is>
      </c>
      <c r="B107" s="1" t="n">
        <v>43860</v>
      </c>
      <c r="C107" s="1" t="n">
        <v>45474</v>
      </c>
      <c r="D107" t="inlineStr">
        <is>
          <t>ÖREBRO LÄN</t>
        </is>
      </c>
      <c r="E107" t="inlineStr">
        <is>
          <t>HALLSBERG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5667-2020</t>
        </is>
      </c>
      <c r="B108" s="1" t="n">
        <v>43861</v>
      </c>
      <c r="C108" s="1" t="n">
        <v>45474</v>
      </c>
      <c r="D108" t="inlineStr">
        <is>
          <t>ÖREBRO LÄN</t>
        </is>
      </c>
      <c r="E108" t="inlineStr">
        <is>
          <t>HALLSBERG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6938-2020</t>
        </is>
      </c>
      <c r="B109" s="1" t="n">
        <v>43867</v>
      </c>
      <c r="C109" s="1" t="n">
        <v>45474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9200-2020</t>
        </is>
      </c>
      <c r="B110" s="1" t="n">
        <v>43879</v>
      </c>
      <c r="C110" s="1" t="n">
        <v>45474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9211-2020</t>
        </is>
      </c>
      <c r="B111" s="1" t="n">
        <v>43879</v>
      </c>
      <c r="C111" s="1" t="n">
        <v>45474</v>
      </c>
      <c r="D111" t="inlineStr">
        <is>
          <t>ÖREBRO LÄN</t>
        </is>
      </c>
      <c r="E111" t="inlineStr">
        <is>
          <t>HALLSBERG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12057-2020</t>
        </is>
      </c>
      <c r="B112" s="1" t="n">
        <v>43894</v>
      </c>
      <c r="C112" s="1" t="n">
        <v>45474</v>
      </c>
      <c r="D112" t="inlineStr">
        <is>
          <t>ÖREBRO LÄN</t>
        </is>
      </c>
      <c r="E112" t="inlineStr">
        <is>
          <t>HALLSBERG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14453-2020</t>
        </is>
      </c>
      <c r="B113" s="1" t="n">
        <v>43908</v>
      </c>
      <c r="C113" s="1" t="n">
        <v>45474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16056-2020</t>
        </is>
      </c>
      <c r="B114" s="1" t="n">
        <v>43916</v>
      </c>
      <c r="C114" s="1" t="n">
        <v>45474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18548-2020</t>
        </is>
      </c>
      <c r="B115" s="1" t="n">
        <v>43929</v>
      </c>
      <c r="C115" s="1" t="n">
        <v>45474</v>
      </c>
      <c r="D115" t="inlineStr">
        <is>
          <t>ÖREBRO LÄN</t>
        </is>
      </c>
      <c r="E115" t="inlineStr">
        <is>
          <t>HALLSBERG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18555-2020</t>
        </is>
      </c>
      <c r="B116" s="1" t="n">
        <v>43929</v>
      </c>
      <c r="C116" s="1" t="n">
        <v>45474</v>
      </c>
      <c r="D116" t="inlineStr">
        <is>
          <t>ÖREBRO LÄN</t>
        </is>
      </c>
      <c r="E116" t="inlineStr">
        <is>
          <t>HALLSBERG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18553-2020</t>
        </is>
      </c>
      <c r="B117" s="1" t="n">
        <v>43929</v>
      </c>
      <c r="C117" s="1" t="n">
        <v>45474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19784-2020</t>
        </is>
      </c>
      <c r="B118" s="1" t="n">
        <v>43942</v>
      </c>
      <c r="C118" s="1" t="n">
        <v>45474</v>
      </c>
      <c r="D118" t="inlineStr">
        <is>
          <t>ÖREBRO LÄN</t>
        </is>
      </c>
      <c r="E118" t="inlineStr">
        <is>
          <t>HALLSBERG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19791-2020</t>
        </is>
      </c>
      <c r="B119" s="1" t="n">
        <v>43942</v>
      </c>
      <c r="C119" s="1" t="n">
        <v>45474</v>
      </c>
      <c r="D119" t="inlineStr">
        <is>
          <t>ÖREBRO LÄN</t>
        </is>
      </c>
      <c r="E119" t="inlineStr">
        <is>
          <t>HALLSBERG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20129-2020</t>
        </is>
      </c>
      <c r="B120" s="1" t="n">
        <v>43944</v>
      </c>
      <c r="C120" s="1" t="n">
        <v>45474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20511-2020</t>
        </is>
      </c>
      <c r="B121" s="1" t="n">
        <v>43948</v>
      </c>
      <c r="C121" s="1" t="n">
        <v>45474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20544-2020</t>
        </is>
      </c>
      <c r="B122" s="1" t="n">
        <v>43948</v>
      </c>
      <c r="C122" s="1" t="n">
        <v>45474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20500-2020</t>
        </is>
      </c>
      <c r="B123" s="1" t="n">
        <v>43948</v>
      </c>
      <c r="C123" s="1" t="n">
        <v>45474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20510-2020</t>
        </is>
      </c>
      <c r="B124" s="1" t="n">
        <v>43948</v>
      </c>
      <c r="C124" s="1" t="n">
        <v>45474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20704-2020</t>
        </is>
      </c>
      <c r="B125" s="1" t="n">
        <v>43949</v>
      </c>
      <c r="C125" s="1" t="n">
        <v>45474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20705-2020</t>
        </is>
      </c>
      <c r="B126" s="1" t="n">
        <v>43949</v>
      </c>
      <c r="C126" s="1" t="n">
        <v>45474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20958-2020</t>
        </is>
      </c>
      <c r="B127" s="1" t="n">
        <v>43950</v>
      </c>
      <c r="C127" s="1" t="n">
        <v>45474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20833-2020</t>
        </is>
      </c>
      <c r="B128" s="1" t="n">
        <v>43950</v>
      </c>
      <c r="C128" s="1" t="n">
        <v>45474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22567-2020</t>
        </is>
      </c>
      <c r="B129" s="1" t="n">
        <v>43963</v>
      </c>
      <c r="C129" s="1" t="n">
        <v>45474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23720-2020</t>
        </is>
      </c>
      <c r="B130" s="1" t="n">
        <v>43970</v>
      </c>
      <c r="C130" s="1" t="n">
        <v>45474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23716-2020</t>
        </is>
      </c>
      <c r="B131" s="1" t="n">
        <v>43970</v>
      </c>
      <c r="C131" s="1" t="n">
        <v>45474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23717-2020</t>
        </is>
      </c>
      <c r="B132" s="1" t="n">
        <v>43970</v>
      </c>
      <c r="C132" s="1" t="n">
        <v>45474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23773-2020</t>
        </is>
      </c>
      <c r="B133" s="1" t="n">
        <v>43970</v>
      </c>
      <c r="C133" s="1" t="n">
        <v>45474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24022-2020</t>
        </is>
      </c>
      <c r="B134" s="1" t="n">
        <v>43971</v>
      </c>
      <c r="C134" s="1" t="n">
        <v>45474</v>
      </c>
      <c r="D134" t="inlineStr">
        <is>
          <t>ÖREBRO LÄN</t>
        </is>
      </c>
      <c r="E134" t="inlineStr">
        <is>
          <t>HALLSBERG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24623-2020</t>
        </is>
      </c>
      <c r="B135" s="1" t="n">
        <v>43977</v>
      </c>
      <c r="C135" s="1" t="n">
        <v>45474</v>
      </c>
      <c r="D135" t="inlineStr">
        <is>
          <t>ÖREBRO LÄN</t>
        </is>
      </c>
      <c r="E135" t="inlineStr">
        <is>
          <t>HALLSBERG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24626-2020</t>
        </is>
      </c>
      <c r="B136" s="1" t="n">
        <v>43977</v>
      </c>
      <c r="C136" s="1" t="n">
        <v>45474</v>
      </c>
      <c r="D136" t="inlineStr">
        <is>
          <t>ÖREBRO LÄN</t>
        </is>
      </c>
      <c r="E136" t="inlineStr">
        <is>
          <t>HALLSBERG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26196-2020</t>
        </is>
      </c>
      <c r="B137" s="1" t="n">
        <v>43985</v>
      </c>
      <c r="C137" s="1" t="n">
        <v>45474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26211-2020</t>
        </is>
      </c>
      <c r="B138" s="1" t="n">
        <v>43986</v>
      </c>
      <c r="C138" s="1" t="n">
        <v>45474</v>
      </c>
      <c r="D138" t="inlineStr">
        <is>
          <t>ÖREBRO LÄN</t>
        </is>
      </c>
      <c r="E138" t="inlineStr">
        <is>
          <t>HALLSBERG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26477-2020</t>
        </is>
      </c>
      <c r="B139" s="1" t="n">
        <v>43987</v>
      </c>
      <c r="C139" s="1" t="n">
        <v>45474</v>
      </c>
      <c r="D139" t="inlineStr">
        <is>
          <t>ÖREBRO LÄN</t>
        </is>
      </c>
      <c r="E139" t="inlineStr">
        <is>
          <t>HALLSBERG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28193-2020</t>
        </is>
      </c>
      <c r="B140" s="1" t="n">
        <v>43997</v>
      </c>
      <c r="C140" s="1" t="n">
        <v>45474</v>
      </c>
      <c r="D140" t="inlineStr">
        <is>
          <t>ÖREBRO LÄN</t>
        </is>
      </c>
      <c r="E140" t="inlineStr">
        <is>
          <t>HALLSBERG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28286-2020</t>
        </is>
      </c>
      <c r="B141" s="1" t="n">
        <v>43998</v>
      </c>
      <c r="C141" s="1" t="n">
        <v>45474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28316-2020</t>
        </is>
      </c>
      <c r="B142" s="1" t="n">
        <v>43998</v>
      </c>
      <c r="C142" s="1" t="n">
        <v>45474</v>
      </c>
      <c r="D142" t="inlineStr">
        <is>
          <t>ÖREBRO LÄN</t>
        </is>
      </c>
      <c r="E142" t="inlineStr">
        <is>
          <t>HALLSBERG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29156-2020</t>
        </is>
      </c>
      <c r="B143" s="1" t="n">
        <v>43999</v>
      </c>
      <c r="C143" s="1" t="n">
        <v>45474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29804-2020</t>
        </is>
      </c>
      <c r="B144" s="1" t="n">
        <v>44006</v>
      </c>
      <c r="C144" s="1" t="n">
        <v>45474</v>
      </c>
      <c r="D144" t="inlineStr">
        <is>
          <t>ÖREBRO LÄN</t>
        </is>
      </c>
      <c r="E144" t="inlineStr">
        <is>
          <t>HALLSBERG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32887-2020</t>
        </is>
      </c>
      <c r="B145" s="1" t="n">
        <v>44018</v>
      </c>
      <c r="C145" s="1" t="n">
        <v>45474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32894-2020</t>
        </is>
      </c>
      <c r="B146" s="1" t="n">
        <v>44018</v>
      </c>
      <c r="C146" s="1" t="n">
        <v>45474</v>
      </c>
      <c r="D146" t="inlineStr">
        <is>
          <t>ÖREBRO LÄN</t>
        </is>
      </c>
      <c r="E146" t="inlineStr">
        <is>
          <t>HALLSBERG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33049-2020</t>
        </is>
      </c>
      <c r="B147" s="1" t="n">
        <v>44021</v>
      </c>
      <c r="C147" s="1" t="n">
        <v>45474</v>
      </c>
      <c r="D147" t="inlineStr">
        <is>
          <t>ÖREBRO LÄN</t>
        </is>
      </c>
      <c r="E147" t="inlineStr">
        <is>
          <t>HALLSBERG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37900-2020</t>
        </is>
      </c>
      <c r="B148" s="1" t="n">
        <v>44057</v>
      </c>
      <c r="C148" s="1" t="n">
        <v>45474</v>
      </c>
      <c r="D148" t="inlineStr">
        <is>
          <t>ÖREBRO LÄN</t>
        </is>
      </c>
      <c r="E148" t="inlineStr">
        <is>
          <t>HALLSBERG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37921-2020</t>
        </is>
      </c>
      <c r="B149" s="1" t="n">
        <v>44057</v>
      </c>
      <c r="C149" s="1" t="n">
        <v>45474</v>
      </c>
      <c r="D149" t="inlineStr">
        <is>
          <t>ÖREBRO LÄN</t>
        </is>
      </c>
      <c r="E149" t="inlineStr">
        <is>
          <t>HALLSBERG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37944-2020</t>
        </is>
      </c>
      <c r="B150" s="1" t="n">
        <v>44057</v>
      </c>
      <c r="C150" s="1" t="n">
        <v>45474</v>
      </c>
      <c r="D150" t="inlineStr">
        <is>
          <t>ÖREBRO LÄN</t>
        </is>
      </c>
      <c r="E150" t="inlineStr">
        <is>
          <t>HALLSBERG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39252-2020</t>
        </is>
      </c>
      <c r="B151" s="1" t="n">
        <v>44063</v>
      </c>
      <c r="C151" s="1" t="n">
        <v>45474</v>
      </c>
      <c r="D151" t="inlineStr">
        <is>
          <t>ÖREBRO LÄN</t>
        </is>
      </c>
      <c r="E151" t="inlineStr">
        <is>
          <t>HALLSBERG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39995-2020</t>
        </is>
      </c>
      <c r="B152" s="1" t="n">
        <v>44064</v>
      </c>
      <c r="C152" s="1" t="n">
        <v>45474</v>
      </c>
      <c r="D152" t="inlineStr">
        <is>
          <t>ÖREBRO LÄN</t>
        </is>
      </c>
      <c r="E152" t="inlineStr">
        <is>
          <t>HALLSBERG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41179-2020</t>
        </is>
      </c>
      <c r="B153" s="1" t="n">
        <v>44071</v>
      </c>
      <c r="C153" s="1" t="n">
        <v>45474</v>
      </c>
      <c r="D153" t="inlineStr">
        <is>
          <t>ÖREBRO LÄN</t>
        </is>
      </c>
      <c r="E153" t="inlineStr">
        <is>
          <t>HALLSBERG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42074-2020</t>
        </is>
      </c>
      <c r="B154" s="1" t="n">
        <v>44075</v>
      </c>
      <c r="C154" s="1" t="n">
        <v>45474</v>
      </c>
      <c r="D154" t="inlineStr">
        <is>
          <t>ÖREBRO LÄN</t>
        </is>
      </c>
      <c r="E154" t="inlineStr">
        <is>
          <t>HALLSBERG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43007-2020</t>
        </is>
      </c>
      <c r="B155" s="1" t="n">
        <v>44078</v>
      </c>
      <c r="C155" s="1" t="n">
        <v>45474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42903-2020</t>
        </is>
      </c>
      <c r="B156" s="1" t="n">
        <v>44078</v>
      </c>
      <c r="C156" s="1" t="n">
        <v>45474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46025-2020</t>
        </is>
      </c>
      <c r="B157" s="1" t="n">
        <v>44088</v>
      </c>
      <c r="C157" s="1" t="n">
        <v>45474</v>
      </c>
      <c r="D157" t="inlineStr">
        <is>
          <t>ÖREBRO LÄN</t>
        </is>
      </c>
      <c r="E157" t="inlineStr">
        <is>
          <t>HALLSBERG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46305-2020</t>
        </is>
      </c>
      <c r="B158" s="1" t="n">
        <v>44092</v>
      </c>
      <c r="C158" s="1" t="n">
        <v>45474</v>
      </c>
      <c r="D158" t="inlineStr">
        <is>
          <t>ÖREBRO LÄN</t>
        </is>
      </c>
      <c r="E158" t="inlineStr">
        <is>
          <t>HALLSBERG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47322-2020</t>
        </is>
      </c>
      <c r="B159" s="1" t="n">
        <v>44097</v>
      </c>
      <c r="C159" s="1" t="n">
        <v>45474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48725-2020</t>
        </is>
      </c>
      <c r="B160" s="1" t="n">
        <v>44099</v>
      </c>
      <c r="C160" s="1" t="n">
        <v>45474</v>
      </c>
      <c r="D160" t="inlineStr">
        <is>
          <t>ÖREBRO LÄN</t>
        </is>
      </c>
      <c r="E160" t="inlineStr">
        <is>
          <t>HALLSBERG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58208-2020</t>
        </is>
      </c>
      <c r="B161" s="1" t="n">
        <v>44144</v>
      </c>
      <c r="C161" s="1" t="n">
        <v>45474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58215-2020</t>
        </is>
      </c>
      <c r="B162" s="1" t="n">
        <v>44144</v>
      </c>
      <c r="C162" s="1" t="n">
        <v>45474</v>
      </c>
      <c r="D162" t="inlineStr">
        <is>
          <t>ÖREBRO LÄN</t>
        </is>
      </c>
      <c r="E162" t="inlineStr">
        <is>
          <t>HALLSBERG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59076-2020</t>
        </is>
      </c>
      <c r="B163" s="1" t="n">
        <v>44147</v>
      </c>
      <c r="C163" s="1" t="n">
        <v>45474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60548-2020</t>
        </is>
      </c>
      <c r="B164" s="1" t="n">
        <v>44153</v>
      </c>
      <c r="C164" s="1" t="n">
        <v>45474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62939-2020</t>
        </is>
      </c>
      <c r="B165" s="1" t="n">
        <v>44161</v>
      </c>
      <c r="C165" s="1" t="n">
        <v>45474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63748-2020</t>
        </is>
      </c>
      <c r="B166" s="1" t="n">
        <v>44166</v>
      </c>
      <c r="C166" s="1" t="n">
        <v>45474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127-2021</t>
        </is>
      </c>
      <c r="B167" s="1" t="n">
        <v>44200</v>
      </c>
      <c r="C167" s="1" t="n">
        <v>45474</v>
      </c>
      <c r="D167" t="inlineStr">
        <is>
          <t>ÖREBRO LÄN</t>
        </is>
      </c>
      <c r="E167" t="inlineStr">
        <is>
          <t>HALLSBERG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1618-2021</t>
        </is>
      </c>
      <c r="B168" s="1" t="n">
        <v>44209</v>
      </c>
      <c r="C168" s="1" t="n">
        <v>45474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2303-2021</t>
        </is>
      </c>
      <c r="B169" s="1" t="n">
        <v>44213</v>
      </c>
      <c r="C169" s="1" t="n">
        <v>45474</v>
      </c>
      <c r="D169" t="inlineStr">
        <is>
          <t>ÖREBRO LÄN</t>
        </is>
      </c>
      <c r="E169" t="inlineStr">
        <is>
          <t>HALLSBERG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5101-2021</t>
        </is>
      </c>
      <c r="B170" s="1" t="n">
        <v>44224</v>
      </c>
      <c r="C170" s="1" t="n">
        <v>45474</v>
      </c>
      <c r="D170" t="inlineStr">
        <is>
          <t>ÖREBRO LÄN</t>
        </is>
      </c>
      <c r="E170" t="inlineStr">
        <is>
          <t>HALLSBERG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5651-2021</t>
        </is>
      </c>
      <c r="B171" s="1" t="n">
        <v>44230</v>
      </c>
      <c r="C171" s="1" t="n">
        <v>45474</v>
      </c>
      <c r="D171" t="inlineStr">
        <is>
          <t>ÖREBRO LÄN</t>
        </is>
      </c>
      <c r="E171" t="inlineStr">
        <is>
          <t>HALLSBERG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7188-2021</t>
        </is>
      </c>
      <c r="B172" s="1" t="n">
        <v>44238</v>
      </c>
      <c r="C172" s="1" t="n">
        <v>45474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10691-2021</t>
        </is>
      </c>
      <c r="B173" s="1" t="n">
        <v>44258</v>
      </c>
      <c r="C173" s="1" t="n">
        <v>45474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12461-2021</t>
        </is>
      </c>
      <c r="B174" s="1" t="n">
        <v>44267</v>
      </c>
      <c r="C174" s="1" t="n">
        <v>45474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20335-2021</t>
        </is>
      </c>
      <c r="B175" s="1" t="n">
        <v>44315</v>
      </c>
      <c r="C175" s="1" t="n">
        <v>45474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23856-2021</t>
        </is>
      </c>
      <c r="B176" s="1" t="n">
        <v>44335</v>
      </c>
      <c r="C176" s="1" t="n">
        <v>45474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24045-2021</t>
        </is>
      </c>
      <c r="B177" s="1" t="n">
        <v>44336</v>
      </c>
      <c r="C177" s="1" t="n">
        <v>45474</v>
      </c>
      <c r="D177" t="inlineStr">
        <is>
          <t>ÖREBRO LÄN</t>
        </is>
      </c>
      <c r="E177" t="inlineStr">
        <is>
          <t>HALLSBERG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24876-2021</t>
        </is>
      </c>
      <c r="B178" s="1" t="n">
        <v>44341</v>
      </c>
      <c r="C178" s="1" t="n">
        <v>45474</v>
      </c>
      <c r="D178" t="inlineStr">
        <is>
          <t>ÖREBRO LÄN</t>
        </is>
      </c>
      <c r="E178" t="inlineStr">
        <is>
          <t>HALLSBERG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24897-2021</t>
        </is>
      </c>
      <c r="B179" s="1" t="n">
        <v>44341</v>
      </c>
      <c r="C179" s="1" t="n">
        <v>45474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25688-2021</t>
        </is>
      </c>
      <c r="B180" s="1" t="n">
        <v>44343</v>
      </c>
      <c r="C180" s="1" t="n">
        <v>45474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25734-2021</t>
        </is>
      </c>
      <c r="B181" s="1" t="n">
        <v>44343</v>
      </c>
      <c r="C181" s="1" t="n">
        <v>45474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25718-2021</t>
        </is>
      </c>
      <c r="B182" s="1" t="n">
        <v>44343</v>
      </c>
      <c r="C182" s="1" t="n">
        <v>45474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29503-2021</t>
        </is>
      </c>
      <c r="B183" s="1" t="n">
        <v>44361</v>
      </c>
      <c r="C183" s="1" t="n">
        <v>45474</v>
      </c>
      <c r="D183" t="inlineStr">
        <is>
          <t>ÖREBRO LÄN</t>
        </is>
      </c>
      <c r="E183" t="inlineStr">
        <is>
          <t>HALLSBERG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31483-2021</t>
        </is>
      </c>
      <c r="B184" s="1" t="n">
        <v>44369</v>
      </c>
      <c r="C184" s="1" t="n">
        <v>45474</v>
      </c>
      <c r="D184" t="inlineStr">
        <is>
          <t>ÖREBRO LÄN</t>
        </is>
      </c>
      <c r="E184" t="inlineStr">
        <is>
          <t>HALLSBERG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31492-2021</t>
        </is>
      </c>
      <c r="B185" s="1" t="n">
        <v>44369</v>
      </c>
      <c r="C185" s="1" t="n">
        <v>45474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31480-2021</t>
        </is>
      </c>
      <c r="B186" s="1" t="n">
        <v>44369</v>
      </c>
      <c r="C186" s="1" t="n">
        <v>45474</v>
      </c>
      <c r="D186" t="inlineStr">
        <is>
          <t>ÖREBRO LÄN</t>
        </is>
      </c>
      <c r="E186" t="inlineStr">
        <is>
          <t>HALLSBERG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33290-2021</t>
        </is>
      </c>
      <c r="B187" s="1" t="n">
        <v>44377</v>
      </c>
      <c r="C187" s="1" t="n">
        <v>45474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36591-2021</t>
        </is>
      </c>
      <c r="B188" s="1" t="n">
        <v>44391</v>
      </c>
      <c r="C188" s="1" t="n">
        <v>45474</v>
      </c>
      <c r="D188" t="inlineStr">
        <is>
          <t>ÖREBRO LÄN</t>
        </is>
      </c>
      <c r="E188" t="inlineStr">
        <is>
          <t>HALLSBERG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38131-2021</t>
        </is>
      </c>
      <c r="B189" s="1" t="n">
        <v>44404</v>
      </c>
      <c r="C189" s="1" t="n">
        <v>45474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38927-2021</t>
        </is>
      </c>
      <c r="B190" s="1" t="n">
        <v>44411</v>
      </c>
      <c r="C190" s="1" t="n">
        <v>45474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39057-2021</t>
        </is>
      </c>
      <c r="B191" s="1" t="n">
        <v>44412</v>
      </c>
      <c r="C191" s="1" t="n">
        <v>45474</v>
      </c>
      <c r="D191" t="inlineStr">
        <is>
          <t>ÖREBRO LÄN</t>
        </is>
      </c>
      <c r="E191" t="inlineStr">
        <is>
          <t>HALLSBERG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39466-2021</t>
        </is>
      </c>
      <c r="B192" s="1" t="n">
        <v>44414</v>
      </c>
      <c r="C192" s="1" t="n">
        <v>45474</v>
      </c>
      <c r="D192" t="inlineStr">
        <is>
          <t>ÖREBRO LÄN</t>
        </is>
      </c>
      <c r="E192" t="inlineStr">
        <is>
          <t>HALLSBERG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39450-2021</t>
        </is>
      </c>
      <c r="B193" s="1" t="n">
        <v>44414</v>
      </c>
      <c r="C193" s="1" t="n">
        <v>45474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40607-2021</t>
        </is>
      </c>
      <c r="B194" s="1" t="n">
        <v>44420</v>
      </c>
      <c r="C194" s="1" t="n">
        <v>45474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40984-2021</t>
        </is>
      </c>
      <c r="B195" s="1" t="n">
        <v>44421</v>
      </c>
      <c r="C195" s="1" t="n">
        <v>45474</v>
      </c>
      <c r="D195" t="inlineStr">
        <is>
          <t>ÖREBRO LÄN</t>
        </is>
      </c>
      <c r="E195" t="inlineStr">
        <is>
          <t>HALLSBERG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40987-2021</t>
        </is>
      </c>
      <c r="B196" s="1" t="n">
        <v>44421</v>
      </c>
      <c r="C196" s="1" t="n">
        <v>45474</v>
      </c>
      <c r="D196" t="inlineStr">
        <is>
          <t>ÖREBRO LÄN</t>
        </is>
      </c>
      <c r="E196" t="inlineStr">
        <is>
          <t>HALLSBERG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41410-2021</t>
        </is>
      </c>
      <c r="B197" s="1" t="n">
        <v>44424</v>
      </c>
      <c r="C197" s="1" t="n">
        <v>45474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44227-2021</t>
        </is>
      </c>
      <c r="B198" s="1" t="n">
        <v>44435</v>
      </c>
      <c r="C198" s="1" t="n">
        <v>45474</v>
      </c>
      <c r="D198" t="inlineStr">
        <is>
          <t>ÖREBRO LÄN</t>
        </is>
      </c>
      <c r="E198" t="inlineStr">
        <is>
          <t>HALLSBERG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44228-2021</t>
        </is>
      </c>
      <c r="B199" s="1" t="n">
        <v>44435</v>
      </c>
      <c r="C199" s="1" t="n">
        <v>45474</v>
      </c>
      <c r="D199" t="inlineStr">
        <is>
          <t>ÖREBRO LÄN</t>
        </is>
      </c>
      <c r="E199" t="inlineStr">
        <is>
          <t>HALLSBERG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58462-2021</t>
        </is>
      </c>
      <c r="B200" s="1" t="n">
        <v>44488</v>
      </c>
      <c r="C200" s="1" t="n">
        <v>45474</v>
      </c>
      <c r="D200" t="inlineStr">
        <is>
          <t>ÖREBRO LÄN</t>
        </is>
      </c>
      <c r="E200" t="inlineStr">
        <is>
          <t>HALLSBERG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59176-2021</t>
        </is>
      </c>
      <c r="B201" s="1" t="n">
        <v>44490</v>
      </c>
      <c r="C201" s="1" t="n">
        <v>45474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60685-2021</t>
        </is>
      </c>
      <c r="B202" s="1" t="n">
        <v>44496</v>
      </c>
      <c r="C202" s="1" t="n">
        <v>45474</v>
      </c>
      <c r="D202" t="inlineStr">
        <is>
          <t>ÖREBRO LÄN</t>
        </is>
      </c>
      <c r="E202" t="inlineStr">
        <is>
          <t>HALLSBERG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69079-2021</t>
        </is>
      </c>
      <c r="B203" s="1" t="n">
        <v>44530</v>
      </c>
      <c r="C203" s="1" t="n">
        <v>45474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69420-2021</t>
        </is>
      </c>
      <c r="B204" s="1" t="n">
        <v>44531</v>
      </c>
      <c r="C204" s="1" t="n">
        <v>45474</v>
      </c>
      <c r="D204" t="inlineStr">
        <is>
          <t>ÖREBRO LÄN</t>
        </is>
      </c>
      <c r="E204" t="inlineStr">
        <is>
          <t>HALLSBERG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69607-2021</t>
        </is>
      </c>
      <c r="B205" s="1" t="n">
        <v>44532</v>
      </c>
      <c r="C205" s="1" t="n">
        <v>45474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70160-2021</t>
        </is>
      </c>
      <c r="B206" s="1" t="n">
        <v>44533</v>
      </c>
      <c r="C206" s="1" t="n">
        <v>45474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70153-2021</t>
        </is>
      </c>
      <c r="B207" s="1" t="n">
        <v>44533</v>
      </c>
      <c r="C207" s="1" t="n">
        <v>45474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71481-2021</t>
        </is>
      </c>
      <c r="B208" s="1" t="n">
        <v>44540</v>
      </c>
      <c r="C208" s="1" t="n">
        <v>45474</v>
      </c>
      <c r="D208" t="inlineStr">
        <is>
          <t>ÖREBRO LÄN</t>
        </is>
      </c>
      <c r="E208" t="inlineStr">
        <is>
          <t>HALLSBERG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73941-2021</t>
        </is>
      </c>
      <c r="B209" s="1" t="n">
        <v>44553</v>
      </c>
      <c r="C209" s="1" t="n">
        <v>45474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73947-2021</t>
        </is>
      </c>
      <c r="B210" s="1" t="n">
        <v>44553</v>
      </c>
      <c r="C210" s="1" t="n">
        <v>45474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765-2022</t>
        </is>
      </c>
      <c r="B211" s="1" t="n">
        <v>44570</v>
      </c>
      <c r="C211" s="1" t="n">
        <v>45474</v>
      </c>
      <c r="D211" t="inlineStr">
        <is>
          <t>ÖREBRO LÄN</t>
        </is>
      </c>
      <c r="E211" t="inlineStr">
        <is>
          <t>HALLSBERG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3366-2022</t>
        </is>
      </c>
      <c r="B212" s="1" t="n">
        <v>44585</v>
      </c>
      <c r="C212" s="1" t="n">
        <v>45474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3675-2022</t>
        </is>
      </c>
      <c r="B213" s="1" t="n">
        <v>44586</v>
      </c>
      <c r="C213" s="1" t="n">
        <v>45474</v>
      </c>
      <c r="D213" t="inlineStr">
        <is>
          <t>ÖREBRO LÄN</t>
        </is>
      </c>
      <c r="E213" t="inlineStr">
        <is>
          <t>HALLSBERG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8252-2022</t>
        </is>
      </c>
      <c r="B214" s="1" t="n">
        <v>44610</v>
      </c>
      <c r="C214" s="1" t="n">
        <v>45474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8606-2022</t>
        </is>
      </c>
      <c r="B215" s="1" t="n">
        <v>44610</v>
      </c>
      <c r="C215" s="1" t="n">
        <v>45474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45474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9126-2022</t>
        </is>
      </c>
      <c r="B217" s="1" t="n">
        <v>44615</v>
      </c>
      <c r="C217" s="1" t="n">
        <v>45474</v>
      </c>
      <c r="D217" t="inlineStr">
        <is>
          <t>ÖREBRO LÄN</t>
        </is>
      </c>
      <c r="E217" t="inlineStr">
        <is>
          <t>HALLSBERG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9412-2022</t>
        </is>
      </c>
      <c r="B218" s="1" t="n">
        <v>44616</v>
      </c>
      <c r="C218" s="1" t="n">
        <v>45474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28.8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9426-2022</t>
        </is>
      </c>
      <c r="B219" s="1" t="n">
        <v>44616</v>
      </c>
      <c r="C219" s="1" t="n">
        <v>45474</v>
      </c>
      <c r="D219" t="inlineStr">
        <is>
          <t>ÖREBRO LÄN</t>
        </is>
      </c>
      <c r="E219" t="inlineStr">
        <is>
          <t>HALLSBERG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9414-2022</t>
        </is>
      </c>
      <c r="B220" s="1" t="n">
        <v>44616</v>
      </c>
      <c r="C220" s="1" t="n">
        <v>45474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10863-2022</t>
        </is>
      </c>
      <c r="B221" s="1" t="n">
        <v>44627</v>
      </c>
      <c r="C221" s="1" t="n">
        <v>45474</v>
      </c>
      <c r="D221" t="inlineStr">
        <is>
          <t>ÖREBRO LÄN</t>
        </is>
      </c>
      <c r="E221" t="inlineStr">
        <is>
          <t>HALLSBERG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12053-2022</t>
        </is>
      </c>
      <c r="B222" s="1" t="n">
        <v>44636</v>
      </c>
      <c r="C222" s="1" t="n">
        <v>45474</v>
      </c>
      <c r="D222" t="inlineStr">
        <is>
          <t>ÖREBRO LÄN</t>
        </is>
      </c>
      <c r="E222" t="inlineStr">
        <is>
          <t>HALLSBERG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12471-2022</t>
        </is>
      </c>
      <c r="B223" s="1" t="n">
        <v>44638</v>
      </c>
      <c r="C223" s="1" t="n">
        <v>45474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12520-2022</t>
        </is>
      </c>
      <c r="B224" s="1" t="n">
        <v>44638</v>
      </c>
      <c r="C224" s="1" t="n">
        <v>45474</v>
      </c>
      <c r="D224" t="inlineStr">
        <is>
          <t>ÖREBRO LÄN</t>
        </is>
      </c>
      <c r="E224" t="inlineStr">
        <is>
          <t>HALLSBERG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13120-2022</t>
        </is>
      </c>
      <c r="B225" s="1" t="n">
        <v>44643</v>
      </c>
      <c r="C225" s="1" t="n">
        <v>45474</v>
      </c>
      <c r="D225" t="inlineStr">
        <is>
          <t>ÖREBRO LÄN</t>
        </is>
      </c>
      <c r="E225" t="inlineStr">
        <is>
          <t>HALLSBERG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13660-2022</t>
        </is>
      </c>
      <c r="B226" s="1" t="n">
        <v>44648</v>
      </c>
      <c r="C226" s="1" t="n">
        <v>45474</v>
      </c>
      <c r="D226" t="inlineStr">
        <is>
          <t>ÖREBRO LÄN</t>
        </is>
      </c>
      <c r="E226" t="inlineStr">
        <is>
          <t>HALLSBERG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14348-2022</t>
        </is>
      </c>
      <c r="B227" s="1" t="n">
        <v>44651</v>
      </c>
      <c r="C227" s="1" t="n">
        <v>45474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14333-2022</t>
        </is>
      </c>
      <c r="B228" s="1" t="n">
        <v>44651</v>
      </c>
      <c r="C228" s="1" t="n">
        <v>45474</v>
      </c>
      <c r="D228" t="inlineStr">
        <is>
          <t>ÖREBRO LÄN</t>
        </is>
      </c>
      <c r="E228" t="inlineStr">
        <is>
          <t>HALLSBERG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14335-2022</t>
        </is>
      </c>
      <c r="B229" s="1" t="n">
        <v>44651</v>
      </c>
      <c r="C229" s="1" t="n">
        <v>45474</v>
      </c>
      <c r="D229" t="inlineStr">
        <is>
          <t>ÖREBRO LÄN</t>
        </is>
      </c>
      <c r="E229" t="inlineStr">
        <is>
          <t>HALLSBERG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14345-2022</t>
        </is>
      </c>
      <c r="B230" s="1" t="n">
        <v>44651</v>
      </c>
      <c r="C230" s="1" t="n">
        <v>45474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14928-2022</t>
        </is>
      </c>
      <c r="B231" s="1" t="n">
        <v>44657</v>
      </c>
      <c r="C231" s="1" t="n">
        <v>45474</v>
      </c>
      <c r="D231" t="inlineStr">
        <is>
          <t>ÖREBRO LÄN</t>
        </is>
      </c>
      <c r="E231" t="inlineStr">
        <is>
          <t>HALLSBERG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15086-2022</t>
        </is>
      </c>
      <c r="B232" s="1" t="n">
        <v>44657</v>
      </c>
      <c r="C232" s="1" t="n">
        <v>45474</v>
      </c>
      <c r="D232" t="inlineStr">
        <is>
          <t>ÖREBRO LÄN</t>
        </is>
      </c>
      <c r="E232" t="inlineStr">
        <is>
          <t>HALLSBERG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16092-2022</t>
        </is>
      </c>
      <c r="B233" s="1" t="n">
        <v>44665</v>
      </c>
      <c r="C233" s="1" t="n">
        <v>45474</v>
      </c>
      <c r="D233" t="inlineStr">
        <is>
          <t>ÖREBRO LÄN</t>
        </is>
      </c>
      <c r="E233" t="inlineStr">
        <is>
          <t>HALLSBERG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16085-2022</t>
        </is>
      </c>
      <c r="B234" s="1" t="n">
        <v>44665</v>
      </c>
      <c r="C234" s="1" t="n">
        <v>45474</v>
      </c>
      <c r="D234" t="inlineStr">
        <is>
          <t>ÖREBRO LÄN</t>
        </is>
      </c>
      <c r="E234" t="inlineStr">
        <is>
          <t>HALLSBERG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17003-2022</t>
        </is>
      </c>
      <c r="B235" s="1" t="n">
        <v>44676</v>
      </c>
      <c r="C235" s="1" t="n">
        <v>45474</v>
      </c>
      <c r="D235" t="inlineStr">
        <is>
          <t>ÖREBRO LÄN</t>
        </is>
      </c>
      <c r="E235" t="inlineStr">
        <is>
          <t>HALLSBERG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17544-2022</t>
        </is>
      </c>
      <c r="B236" s="1" t="n">
        <v>44679</v>
      </c>
      <c r="C236" s="1" t="n">
        <v>45474</v>
      </c>
      <c r="D236" t="inlineStr">
        <is>
          <t>ÖREBRO LÄN</t>
        </is>
      </c>
      <c r="E236" t="inlineStr">
        <is>
          <t>HALLSBERG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17572-2022</t>
        </is>
      </c>
      <c r="B237" s="1" t="n">
        <v>44679</v>
      </c>
      <c r="C237" s="1" t="n">
        <v>45474</v>
      </c>
      <c r="D237" t="inlineStr">
        <is>
          <t>ÖREBRO LÄN</t>
        </is>
      </c>
      <c r="E237" t="inlineStr">
        <is>
          <t>HALLSBERG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18512-2022</t>
        </is>
      </c>
      <c r="B238" s="1" t="n">
        <v>44686</v>
      </c>
      <c r="C238" s="1" t="n">
        <v>45474</v>
      </c>
      <c r="D238" t="inlineStr">
        <is>
          <t>ÖREBRO LÄN</t>
        </is>
      </c>
      <c r="E238" t="inlineStr">
        <is>
          <t>HALLSBERG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19849-2022</t>
        </is>
      </c>
      <c r="B239" s="1" t="n">
        <v>44696</v>
      </c>
      <c r="C239" s="1" t="n">
        <v>45474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19853-2022</t>
        </is>
      </c>
      <c r="B240" s="1" t="n">
        <v>44697</v>
      </c>
      <c r="C240" s="1" t="n">
        <v>45474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19855-2022</t>
        </is>
      </c>
      <c r="B241" s="1" t="n">
        <v>44697</v>
      </c>
      <c r="C241" s="1" t="n">
        <v>45474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21343-2022</t>
        </is>
      </c>
      <c r="B242" s="1" t="n">
        <v>44705</v>
      </c>
      <c r="C242" s="1" t="n">
        <v>45474</v>
      </c>
      <c r="D242" t="inlineStr">
        <is>
          <t>ÖREBRO LÄN</t>
        </is>
      </c>
      <c r="E242" t="inlineStr">
        <is>
          <t>HALLSBERG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23330-2022</t>
        </is>
      </c>
      <c r="B243" s="1" t="n">
        <v>44720</v>
      </c>
      <c r="C243" s="1" t="n">
        <v>45474</v>
      </c>
      <c r="D243" t="inlineStr">
        <is>
          <t>ÖREBRO LÄN</t>
        </is>
      </c>
      <c r="E243" t="inlineStr">
        <is>
          <t>HALLSBERG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25480-2022</t>
        </is>
      </c>
      <c r="B244" s="1" t="n">
        <v>44732</v>
      </c>
      <c r="C244" s="1" t="n">
        <v>45474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25459-2022</t>
        </is>
      </c>
      <c r="B245" s="1" t="n">
        <v>44732</v>
      </c>
      <c r="C245" s="1" t="n">
        <v>45474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25491-2022</t>
        </is>
      </c>
      <c r="B246" s="1" t="n">
        <v>44732</v>
      </c>
      <c r="C246" s="1" t="n">
        <v>45474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27396-2022</t>
        </is>
      </c>
      <c r="B247" s="1" t="n">
        <v>44742</v>
      </c>
      <c r="C247" s="1" t="n">
        <v>45474</v>
      </c>
      <c r="D247" t="inlineStr">
        <is>
          <t>ÖREBRO LÄN</t>
        </is>
      </c>
      <c r="E247" t="inlineStr">
        <is>
          <t>HALLSBERG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29859-2022</t>
        </is>
      </c>
      <c r="B248" s="1" t="n">
        <v>44756</v>
      </c>
      <c r="C248" s="1" t="n">
        <v>45474</v>
      </c>
      <c r="D248" t="inlineStr">
        <is>
          <t>ÖREBRO LÄN</t>
        </is>
      </c>
      <c r="E248" t="inlineStr">
        <is>
          <t>HALLSBERG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30144-2022</t>
        </is>
      </c>
      <c r="B249" s="1" t="n">
        <v>44757</v>
      </c>
      <c r="C249" s="1" t="n">
        <v>45474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30145-2022</t>
        </is>
      </c>
      <c r="B250" s="1" t="n">
        <v>44757</v>
      </c>
      <c r="C250" s="1" t="n">
        <v>45474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30621-2022</t>
        </is>
      </c>
      <c r="B251" s="1" t="n">
        <v>44763</v>
      </c>
      <c r="C251" s="1" t="n">
        <v>45474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31612-2022</t>
        </is>
      </c>
      <c r="B252" s="1" t="n">
        <v>44775</v>
      </c>
      <c r="C252" s="1" t="n">
        <v>45474</v>
      </c>
      <c r="D252" t="inlineStr">
        <is>
          <t>ÖREBRO LÄN</t>
        </is>
      </c>
      <c r="E252" t="inlineStr">
        <is>
          <t>HALLSBERG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31615-2022</t>
        </is>
      </c>
      <c r="B253" s="1" t="n">
        <v>44775</v>
      </c>
      <c r="C253" s="1" t="n">
        <v>45474</v>
      </c>
      <c r="D253" t="inlineStr">
        <is>
          <t>ÖREBRO LÄN</t>
        </is>
      </c>
      <c r="E253" t="inlineStr">
        <is>
          <t>HALLSBERG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31747-2022</t>
        </is>
      </c>
      <c r="B254" s="1" t="n">
        <v>44776</v>
      </c>
      <c r="C254" s="1" t="n">
        <v>45474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31818-2022</t>
        </is>
      </c>
      <c r="B255" s="1" t="n">
        <v>44776</v>
      </c>
      <c r="C255" s="1" t="n">
        <v>45474</v>
      </c>
      <c r="D255" t="inlineStr">
        <is>
          <t>ÖREBRO LÄN</t>
        </is>
      </c>
      <c r="E255" t="inlineStr">
        <is>
          <t>HALLSBERG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31893-2022</t>
        </is>
      </c>
      <c r="B256" s="1" t="n">
        <v>44777</v>
      </c>
      <c r="C256" s="1" t="n">
        <v>45474</v>
      </c>
      <c r="D256" t="inlineStr">
        <is>
          <t>ÖREBRO LÄN</t>
        </is>
      </c>
      <c r="E256" t="inlineStr">
        <is>
          <t>HALLSBERG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31912-2022</t>
        </is>
      </c>
      <c r="B257" s="1" t="n">
        <v>44777</v>
      </c>
      <c r="C257" s="1" t="n">
        <v>45474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31994-2022</t>
        </is>
      </c>
      <c r="B258" s="1" t="n">
        <v>44778</v>
      </c>
      <c r="C258" s="1" t="n">
        <v>45474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32512-2022</t>
        </is>
      </c>
      <c r="B259" s="1" t="n">
        <v>44782</v>
      </c>
      <c r="C259" s="1" t="n">
        <v>45474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33405-2022</t>
        </is>
      </c>
      <c r="B260" s="1" t="n">
        <v>44788</v>
      </c>
      <c r="C260" s="1" t="n">
        <v>45474</v>
      </c>
      <c r="D260" t="inlineStr">
        <is>
          <t>ÖREBRO LÄN</t>
        </is>
      </c>
      <c r="E260" t="inlineStr">
        <is>
          <t>HALLSBERG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34227-2022</t>
        </is>
      </c>
      <c r="B261" s="1" t="n">
        <v>44791</v>
      </c>
      <c r="C261" s="1" t="n">
        <v>45474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34222-2022</t>
        </is>
      </c>
      <c r="B262" s="1" t="n">
        <v>44791</v>
      </c>
      <c r="C262" s="1" t="n">
        <v>45474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35097-2022</t>
        </is>
      </c>
      <c r="B263" s="1" t="n">
        <v>44797</v>
      </c>
      <c r="C263" s="1" t="n">
        <v>45474</v>
      </c>
      <c r="D263" t="inlineStr">
        <is>
          <t>ÖREBRO LÄN</t>
        </is>
      </c>
      <c r="E263" t="inlineStr">
        <is>
          <t>HALLSBERG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35095-2022</t>
        </is>
      </c>
      <c r="B264" s="1" t="n">
        <v>44797</v>
      </c>
      <c r="C264" s="1" t="n">
        <v>45474</v>
      </c>
      <c r="D264" t="inlineStr">
        <is>
          <t>ÖREBRO LÄN</t>
        </is>
      </c>
      <c r="E264" t="inlineStr">
        <is>
          <t>HALLSBERG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35421-2022</t>
        </is>
      </c>
      <c r="B265" s="1" t="n">
        <v>44798</v>
      </c>
      <c r="C265" s="1" t="n">
        <v>45474</v>
      </c>
      <c r="D265" t="inlineStr">
        <is>
          <t>ÖREBRO LÄN</t>
        </is>
      </c>
      <c r="E265" t="inlineStr">
        <is>
          <t>HALLSBERG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35428-2022</t>
        </is>
      </c>
      <c r="B266" s="1" t="n">
        <v>44798</v>
      </c>
      <c r="C266" s="1" t="n">
        <v>45474</v>
      </c>
      <c r="D266" t="inlineStr">
        <is>
          <t>ÖREBRO LÄN</t>
        </is>
      </c>
      <c r="E266" t="inlineStr">
        <is>
          <t>HALLSBERG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36276-2022</t>
        </is>
      </c>
      <c r="B267" s="1" t="n">
        <v>44803</v>
      </c>
      <c r="C267" s="1" t="n">
        <v>45474</v>
      </c>
      <c r="D267" t="inlineStr">
        <is>
          <t>ÖREBRO LÄN</t>
        </is>
      </c>
      <c r="E267" t="inlineStr">
        <is>
          <t>HALLSBERG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38831-2022</t>
        </is>
      </c>
      <c r="B268" s="1" t="n">
        <v>44814</v>
      </c>
      <c r="C268" s="1" t="n">
        <v>45474</v>
      </c>
      <c r="D268" t="inlineStr">
        <is>
          <t>ÖREBRO LÄN</t>
        </is>
      </c>
      <c r="E268" t="inlineStr">
        <is>
          <t>HALLSBERG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38921-2022</t>
        </is>
      </c>
      <c r="B269" s="1" t="n">
        <v>44816</v>
      </c>
      <c r="C269" s="1" t="n">
        <v>45474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38918-2022</t>
        </is>
      </c>
      <c r="B270" s="1" t="n">
        <v>44816</v>
      </c>
      <c r="C270" s="1" t="n">
        <v>45474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39725-2022</t>
        </is>
      </c>
      <c r="B271" s="1" t="n">
        <v>44816</v>
      </c>
      <c r="C271" s="1" t="n">
        <v>45474</v>
      </c>
      <c r="D271" t="inlineStr">
        <is>
          <t>ÖREBRO LÄN</t>
        </is>
      </c>
      <c r="E271" t="inlineStr">
        <is>
          <t>HALLSBERG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41595-2022</t>
        </is>
      </c>
      <c r="B272" s="1" t="n">
        <v>44827</v>
      </c>
      <c r="C272" s="1" t="n">
        <v>45474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41602-2022</t>
        </is>
      </c>
      <c r="B273" s="1" t="n">
        <v>44827</v>
      </c>
      <c r="C273" s="1" t="n">
        <v>45474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42206-2022</t>
        </is>
      </c>
      <c r="B274" s="1" t="n">
        <v>44830</v>
      </c>
      <c r="C274" s="1" t="n">
        <v>45474</v>
      </c>
      <c r="D274" t="inlineStr">
        <is>
          <t>ÖREBRO LÄN</t>
        </is>
      </c>
      <c r="E274" t="inlineStr">
        <is>
          <t>HALLSBERG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42559-2022</t>
        </is>
      </c>
      <c r="B275" s="1" t="n">
        <v>44831</v>
      </c>
      <c r="C275" s="1" t="n">
        <v>45474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43679-2022</t>
        </is>
      </c>
      <c r="B276" s="1" t="n">
        <v>44837</v>
      </c>
      <c r="C276" s="1" t="n">
        <v>45474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44210-2022</t>
        </is>
      </c>
      <c r="B277" s="1" t="n">
        <v>44839</v>
      </c>
      <c r="C277" s="1" t="n">
        <v>45474</v>
      </c>
      <c r="D277" t="inlineStr">
        <is>
          <t>ÖREBRO LÄN</t>
        </is>
      </c>
      <c r="E277" t="inlineStr">
        <is>
          <t>HALLSBERG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44216-2022</t>
        </is>
      </c>
      <c r="B278" s="1" t="n">
        <v>44839</v>
      </c>
      <c r="C278" s="1" t="n">
        <v>45474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44512-2022</t>
        </is>
      </c>
      <c r="B279" s="1" t="n">
        <v>44840</v>
      </c>
      <c r="C279" s="1" t="n">
        <v>45474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45360-2022</t>
        </is>
      </c>
      <c r="B280" s="1" t="n">
        <v>44844</v>
      </c>
      <c r="C280" s="1" t="n">
        <v>45474</v>
      </c>
      <c r="D280" t="inlineStr">
        <is>
          <t>ÖREBRO LÄN</t>
        </is>
      </c>
      <c r="E280" t="inlineStr">
        <is>
          <t>HALLSBERG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45341-2022</t>
        </is>
      </c>
      <c r="B281" s="1" t="n">
        <v>44844</v>
      </c>
      <c r="C281" s="1" t="n">
        <v>45474</v>
      </c>
      <c r="D281" t="inlineStr">
        <is>
          <t>ÖREBRO LÄN</t>
        </is>
      </c>
      <c r="E281" t="inlineStr">
        <is>
          <t>HALLSBERG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46416-2022</t>
        </is>
      </c>
      <c r="B282" s="1" t="n">
        <v>44848</v>
      </c>
      <c r="C282" s="1" t="n">
        <v>45474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46421-2022</t>
        </is>
      </c>
      <c r="B283" s="1" t="n">
        <v>44848</v>
      </c>
      <c r="C283" s="1" t="n">
        <v>45474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48029-2022</t>
        </is>
      </c>
      <c r="B284" s="1" t="n">
        <v>44855</v>
      </c>
      <c r="C284" s="1" t="n">
        <v>45474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48294-2022</t>
        </is>
      </c>
      <c r="B285" s="1" t="n">
        <v>44858</v>
      </c>
      <c r="C285" s="1" t="n">
        <v>45474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48883-2022</t>
        </is>
      </c>
      <c r="B286" s="1" t="n">
        <v>44859</v>
      </c>
      <c r="C286" s="1" t="n">
        <v>45474</v>
      </c>
      <c r="D286" t="inlineStr">
        <is>
          <t>ÖREBRO LÄN</t>
        </is>
      </c>
      <c r="E286" t="inlineStr">
        <is>
          <t>HALLSBERG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49582-2022</t>
        </is>
      </c>
      <c r="B287" s="1" t="n">
        <v>44862</v>
      </c>
      <c r="C287" s="1" t="n">
        <v>45474</v>
      </c>
      <c r="D287" t="inlineStr">
        <is>
          <t>ÖREBRO LÄN</t>
        </is>
      </c>
      <c r="E287" t="inlineStr">
        <is>
          <t>HALLSBERG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49645-2022</t>
        </is>
      </c>
      <c r="B288" s="1" t="n">
        <v>44862</v>
      </c>
      <c r="C288" s="1" t="n">
        <v>45474</v>
      </c>
      <c r="D288" t="inlineStr">
        <is>
          <t>ÖREBRO LÄN</t>
        </is>
      </c>
      <c r="E288" t="inlineStr">
        <is>
          <t>HALLSBERG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49684-2022</t>
        </is>
      </c>
      <c r="B289" s="1" t="n">
        <v>44862</v>
      </c>
      <c r="C289" s="1" t="n">
        <v>45474</v>
      </c>
      <c r="D289" t="inlineStr">
        <is>
          <t>ÖREBRO LÄN</t>
        </is>
      </c>
      <c r="E289" t="inlineStr">
        <is>
          <t>HALLSBERG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50958-2022</t>
        </is>
      </c>
      <c r="B290" s="1" t="n">
        <v>44867</v>
      </c>
      <c r="C290" s="1" t="n">
        <v>45474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51175-2022</t>
        </is>
      </c>
      <c r="B291" s="1" t="n">
        <v>44868</v>
      </c>
      <c r="C291" s="1" t="n">
        <v>45474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51479-2022</t>
        </is>
      </c>
      <c r="B292" s="1" t="n">
        <v>44869</v>
      </c>
      <c r="C292" s="1" t="n">
        <v>45474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55049-2022</t>
        </is>
      </c>
      <c r="B293" s="1" t="n">
        <v>44886</v>
      </c>
      <c r="C293" s="1" t="n">
        <v>45474</v>
      </c>
      <c r="D293" t="inlineStr">
        <is>
          <t>ÖREBRO LÄN</t>
        </is>
      </c>
      <c r="E293" t="inlineStr">
        <is>
          <t>HALLSBERG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57251-2022</t>
        </is>
      </c>
      <c r="B294" s="1" t="n">
        <v>44895</v>
      </c>
      <c r="C294" s="1" t="n">
        <v>45474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45474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348-2023</t>
        </is>
      </c>
      <c r="B296" s="1" t="n">
        <v>44929</v>
      </c>
      <c r="C296" s="1" t="n">
        <v>45474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349-2023</t>
        </is>
      </c>
      <c r="B297" s="1" t="n">
        <v>44929</v>
      </c>
      <c r="C297" s="1" t="n">
        <v>45474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384-2023</t>
        </is>
      </c>
      <c r="B298" s="1" t="n">
        <v>44929</v>
      </c>
      <c r="C298" s="1" t="n">
        <v>45474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517-2023</t>
        </is>
      </c>
      <c r="B299" s="1" t="n">
        <v>44930</v>
      </c>
      <c r="C299" s="1" t="n">
        <v>45474</v>
      </c>
      <c r="D299" t="inlineStr">
        <is>
          <t>ÖREBRO LÄN</t>
        </is>
      </c>
      <c r="E299" t="inlineStr">
        <is>
          <t>HALLSBERG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869-2023</t>
        </is>
      </c>
      <c r="B300" s="1" t="n">
        <v>44931</v>
      </c>
      <c r="C300" s="1" t="n">
        <v>45474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840-2023</t>
        </is>
      </c>
      <c r="B301" s="1" t="n">
        <v>44931</v>
      </c>
      <c r="C301" s="1" t="n">
        <v>45474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867-2023</t>
        </is>
      </c>
      <c r="B302" s="1" t="n">
        <v>44931</v>
      </c>
      <c r="C302" s="1" t="n">
        <v>45474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956-2023</t>
        </is>
      </c>
      <c r="B303" s="1" t="n">
        <v>44934</v>
      </c>
      <c r="C303" s="1" t="n">
        <v>45474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958-2023</t>
        </is>
      </c>
      <c r="B304" s="1" t="n">
        <v>44934</v>
      </c>
      <c r="C304" s="1" t="n">
        <v>45474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3794-2023</t>
        </is>
      </c>
      <c r="B305" s="1" t="n">
        <v>44951</v>
      </c>
      <c r="C305" s="1" t="n">
        <v>45474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45474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45474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45474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45474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45474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45474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45474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45474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45474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45474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45474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45474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45474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45474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45474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45474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45474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45474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45474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45474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45474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45474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45474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45474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45474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45474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45474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45474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45474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45474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45474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45474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45474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45474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45474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45474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45474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45474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45474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45474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45474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45474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45474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45474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45474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45474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45474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45474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45474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45474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45474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45474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45474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45474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45474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45474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45474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45474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45474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45474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45474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45474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45474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45474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45474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45474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45474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45474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45474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45474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45474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45474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45474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45474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45474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45474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45474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45474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45474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45474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45474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45474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45474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45474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45474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45474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45474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45474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45474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45474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45474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45474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45474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45474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45474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45474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45474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45474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45474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45474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45474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45474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45474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45474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45474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45474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45474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45474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45474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45474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45474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45474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45474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45474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45474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45474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45474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45474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45474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45474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45474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45474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45474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45474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45474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45474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45474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45474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45474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45474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45474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45474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45474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45474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45474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45474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45474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45474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45474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45474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45474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45474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45474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45474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45474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45474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45474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45474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45474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45474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45474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45474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45474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45474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45474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45474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45474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45474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45474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45474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45474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45474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45474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45474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45474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45474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45474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45474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45474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45474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45474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45474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45474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45474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45474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45474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45474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45474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45474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45474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45474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45474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45474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45474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45474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45474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45474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45474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45474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45474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22400-2024</t>
        </is>
      </c>
      <c r="B496" s="1" t="n">
        <v>45446</v>
      </c>
      <c r="C496" s="1" t="n">
        <v>45474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22398-2024</t>
        </is>
      </c>
      <c r="B497" s="1" t="n">
        <v>45446</v>
      </c>
      <c r="C497" s="1" t="n">
        <v>45474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45474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25805-2024</t>
        </is>
      </c>
      <c r="B499" s="1" t="n">
        <v>45467</v>
      </c>
      <c r="C499" s="1" t="n">
        <v>45474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2024-07-01T10:16:43Z</dcterms:created>
  <dcterms:modified xmlns:dcterms="http://purl.org/dc/terms/" xmlns:xsi="http://www.w3.org/2001/XMLSchema-instance" xsi:type="dcterms:W3CDTF">2024-07-01T10:16:43Z</dcterms:modified>
</cp:coreProperties>
</file>