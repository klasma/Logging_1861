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46092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46092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46092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46092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46092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46092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46092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46092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46092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46092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46092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46092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46092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46092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46092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46092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46092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46092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46092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46092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47280-2024</t>
        </is>
      </c>
      <c r="B22" s="1" t="n">
        <v>45586.93074074074</v>
      </c>
      <c r="C22" s="1" t="n">
        <v>46092</v>
      </c>
      <c r="D22" t="inlineStr">
        <is>
          <t>ÖREBRO LÄN</t>
        </is>
      </c>
      <c r="E22" t="inlineStr">
        <is>
          <t>HALLSBERG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taggsvamp
Dropptaggsvamp</t>
        </is>
      </c>
      <c r="S22">
        <f>HYPERLINK("https://klasma.github.io/Logging_1861/artfynd/A 47280-2024 artfynd.xlsx", "A 47280-2024")</f>
        <v/>
      </c>
      <c r="T22">
        <f>HYPERLINK("https://klasma.github.io/Logging_1861/kartor/A 47280-2024 karta.png", "A 47280-2024")</f>
        <v/>
      </c>
      <c r="V22">
        <f>HYPERLINK("https://klasma.github.io/Logging_1861/klagomål/A 47280-2024 FSC-klagomål.docx", "A 47280-2024")</f>
        <v/>
      </c>
      <c r="W22">
        <f>HYPERLINK("https://klasma.github.io/Logging_1861/klagomålsmail/A 47280-2024 FSC-klagomål mail.docx", "A 47280-2024")</f>
        <v/>
      </c>
      <c r="X22">
        <f>HYPERLINK("https://klasma.github.io/Logging_1861/tillsyn/A 47280-2024 tillsynsbegäran.docx", "A 47280-2024")</f>
        <v/>
      </c>
      <c r="Y22">
        <f>HYPERLINK("https://klasma.github.io/Logging_1861/tillsynsmail/A 47280-2024 tillsynsbegäran mail.docx", "A 47280-2024")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46092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47898-2025</t>
        </is>
      </c>
      <c r="B24" s="1" t="n">
        <v>45932.49184027778</v>
      </c>
      <c r="C24" s="1" t="n">
        <v>46092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5.6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Björksplintborre</t>
        </is>
      </c>
      <c r="S24">
        <f>HYPERLINK("https://klasma.github.io/Logging_1861/artfynd/A 47898-2025 artfynd.xlsx", "A 47898-2025")</f>
        <v/>
      </c>
      <c r="T24">
        <f>HYPERLINK("https://klasma.github.io/Logging_1861/kartor/A 47898-2025 karta.png", "A 47898-2025")</f>
        <v/>
      </c>
      <c r="V24">
        <f>HYPERLINK("https://klasma.github.io/Logging_1861/klagomål/A 47898-2025 FSC-klagomål.docx", "A 47898-2025")</f>
        <v/>
      </c>
      <c r="W24">
        <f>HYPERLINK("https://klasma.github.io/Logging_1861/klagomålsmail/A 47898-2025 FSC-klagomål mail.docx", "A 47898-2025")</f>
        <v/>
      </c>
      <c r="X24">
        <f>HYPERLINK("https://klasma.github.io/Logging_1861/tillsyn/A 47898-2025 tillsynsbegäran.docx", "A 47898-2025")</f>
        <v/>
      </c>
      <c r="Y24">
        <f>HYPERLINK("https://klasma.github.io/Logging_1861/tillsynsmail/A 47898-2025 tillsynsbegäran mail.docx", "A 47898-2025")</f>
        <v/>
      </c>
    </row>
    <row r="25" ht="15" customHeight="1">
      <c r="A25" t="inlineStr">
        <is>
          <t>A 28113-2025</t>
        </is>
      </c>
      <c r="B25" s="1" t="n">
        <v>45817</v>
      </c>
      <c r="C25" s="1" t="n">
        <v>46092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8.800000000000001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Revlummer</t>
        </is>
      </c>
      <c r="S25">
        <f>HYPERLINK("https://klasma.github.io/Logging_1861/artfynd/A 28113-2025 artfynd.xlsx", "A 28113-2025")</f>
        <v/>
      </c>
      <c r="T25">
        <f>HYPERLINK("https://klasma.github.io/Logging_1861/kartor/A 28113-2025 karta.png", "A 28113-2025")</f>
        <v/>
      </c>
      <c r="V25">
        <f>HYPERLINK("https://klasma.github.io/Logging_1861/klagomål/A 28113-2025 FSC-klagomål.docx", "A 28113-2025")</f>
        <v/>
      </c>
      <c r="W25">
        <f>HYPERLINK("https://klasma.github.io/Logging_1861/klagomålsmail/A 28113-2025 FSC-klagomål mail.docx", "A 28113-2025")</f>
        <v/>
      </c>
      <c r="X25">
        <f>HYPERLINK("https://klasma.github.io/Logging_1861/tillsyn/A 28113-2025 tillsynsbegäran.docx", "A 28113-2025")</f>
        <v/>
      </c>
      <c r="Y25">
        <f>HYPERLINK("https://klasma.github.io/Logging_1861/tillsynsmail/A 28113-2025 tillsynsbegäran mail.docx", "A 28113-2025")</f>
        <v/>
      </c>
      <c r="Z25">
        <f>HYPERLINK("https://klasma.github.io/Logging_1861/fåglar/A 28113-2025 prioriterade fågelarter.docx", "A 28113-2025")</f>
        <v/>
      </c>
    </row>
    <row r="26" ht="15" customHeight="1">
      <c r="A26" t="inlineStr">
        <is>
          <t>A 39249-2022</t>
        </is>
      </c>
      <c r="B26" s="1" t="n">
        <v>44816</v>
      </c>
      <c r="C26" s="1" t="n">
        <v>46092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Björksplintborre</t>
        </is>
      </c>
      <c r="S26">
        <f>HYPERLINK("https://klasma.github.io/Logging_1861/artfynd/A 39249-2022 artfynd.xlsx", "A 39249-2022")</f>
        <v/>
      </c>
      <c r="T26">
        <f>HYPERLINK("https://klasma.github.io/Logging_1861/kartor/A 39249-2022 karta.png", "A 39249-2022")</f>
        <v/>
      </c>
      <c r="V26">
        <f>HYPERLINK("https://klasma.github.io/Logging_1861/klagomål/A 39249-2022 FSC-klagomål.docx", "A 39249-2022")</f>
        <v/>
      </c>
      <c r="W26">
        <f>HYPERLINK("https://klasma.github.io/Logging_1861/klagomålsmail/A 39249-2022 FSC-klagomål mail.docx", "A 39249-2022")</f>
        <v/>
      </c>
      <c r="X26">
        <f>HYPERLINK("https://klasma.github.io/Logging_1861/tillsyn/A 39249-2022 tillsynsbegäran.docx", "A 39249-2022")</f>
        <v/>
      </c>
      <c r="Y26">
        <f>HYPERLINK("https://klasma.github.io/Logging_1861/tillsynsmail/A 39249-2022 tillsynsbegäran mail.docx", "A 39249-2022")</f>
        <v/>
      </c>
      <c r="Z26">
        <f>HYPERLINK("https://klasma.github.io/Logging_1861/fåglar/A 39249-2022 prioriterade fågelarter.docx", "A 39249-2022")</f>
        <v/>
      </c>
    </row>
    <row r="27" ht="15" customHeight="1">
      <c r="A27" t="inlineStr">
        <is>
          <t>A 46452-2023</t>
        </is>
      </c>
      <c r="B27" s="1" t="n">
        <v>45197.59850694444</v>
      </c>
      <c r="C27" s="1" t="n">
        <v>46092</v>
      </c>
      <c r="D27" t="inlineStr">
        <is>
          <t>ÖREBRO LÄN</t>
        </is>
      </c>
      <c r="E27" t="inlineStr">
        <is>
          <t>HALLSBERG</t>
        </is>
      </c>
      <c r="G27" t="n">
        <v>2.7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Entita
Blåsippa</t>
        </is>
      </c>
      <c r="S27">
        <f>HYPERLINK("https://klasma.github.io/Logging_1861/artfynd/A 46452-2023 artfynd.xlsx", "A 46452-2023")</f>
        <v/>
      </c>
      <c r="T27">
        <f>HYPERLINK("https://klasma.github.io/Logging_1861/kartor/A 46452-2023 karta.png", "A 46452-2023")</f>
        <v/>
      </c>
      <c r="V27">
        <f>HYPERLINK("https://klasma.github.io/Logging_1861/klagomål/A 46452-2023 FSC-klagomål.docx", "A 46452-2023")</f>
        <v/>
      </c>
      <c r="W27">
        <f>HYPERLINK("https://klasma.github.io/Logging_1861/klagomålsmail/A 46452-2023 FSC-klagomål mail.docx", "A 46452-2023")</f>
        <v/>
      </c>
      <c r="X27">
        <f>HYPERLINK("https://klasma.github.io/Logging_1861/tillsyn/A 46452-2023 tillsynsbegäran.docx", "A 46452-2023")</f>
        <v/>
      </c>
      <c r="Y27">
        <f>HYPERLINK("https://klasma.github.io/Logging_1861/tillsynsmail/A 46452-2023 tillsynsbegäran mail.docx", "A 46452-2023")</f>
        <v/>
      </c>
      <c r="Z27">
        <f>HYPERLINK("https://klasma.github.io/Logging_1861/fåglar/A 46452-2023 prioriterade fågelarter.docx", "A 46452-2023")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46092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46092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46092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46092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46092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46092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46092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55327-2025</t>
        </is>
      </c>
      <c r="B35" s="1" t="n">
        <v>45971.33780092592</v>
      </c>
      <c r="C35" s="1" t="n">
        <v>46092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4.4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HYPERLINK("https://klasma.github.io/Logging_1861/artfynd/A 55327-2025 artfynd.xlsx", "A 55327-2025")</f>
        <v/>
      </c>
      <c r="T35">
        <f>HYPERLINK("https://klasma.github.io/Logging_1861/kartor/A 55327-2025 karta.png", "A 55327-2025")</f>
        <v/>
      </c>
      <c r="V35">
        <f>HYPERLINK("https://klasma.github.io/Logging_1861/klagomål/A 55327-2025 FSC-klagomål.docx", "A 55327-2025")</f>
        <v/>
      </c>
      <c r="W35">
        <f>HYPERLINK("https://klasma.github.io/Logging_1861/klagomålsmail/A 55327-2025 FSC-klagomål mail.docx", "A 55327-2025")</f>
        <v/>
      </c>
      <c r="X35">
        <f>HYPERLINK("https://klasma.github.io/Logging_1861/tillsyn/A 55327-2025 tillsynsbegäran.docx", "A 55327-2025")</f>
        <v/>
      </c>
      <c r="Y35">
        <f>HYPERLINK("https://klasma.github.io/Logging_1861/tillsynsmail/A 55327-2025 tillsynsbegäran mail.docx", "A 55327-2025")</f>
        <v/>
      </c>
    </row>
    <row r="36" ht="15" customHeight="1">
      <c r="A36" t="inlineStr">
        <is>
          <t>A 28140-2021</t>
        </is>
      </c>
      <c r="B36" s="1" t="n">
        <v>44355</v>
      </c>
      <c r="C36" s="1" t="n">
        <v>46092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HYPERLINK("https://klasma.github.io/Logging_1861/artfynd/A 28140-2021 artfynd.xlsx", "A 28140-2021")</f>
        <v/>
      </c>
      <c r="T36">
        <f>HYPERLINK("https://klasma.github.io/Logging_1861/kartor/A 28140-2021 karta.png", "A 28140-2021")</f>
        <v/>
      </c>
      <c r="V36">
        <f>HYPERLINK("https://klasma.github.io/Logging_1861/klagomål/A 28140-2021 FSC-klagomål.docx", "A 28140-2021")</f>
        <v/>
      </c>
      <c r="W36">
        <f>HYPERLINK("https://klasma.github.io/Logging_1861/klagomålsmail/A 28140-2021 FSC-klagomål mail.docx", "A 28140-2021")</f>
        <v/>
      </c>
      <c r="X36">
        <f>HYPERLINK("https://klasma.github.io/Logging_1861/tillsyn/A 28140-2021 tillsynsbegäran.docx", "A 28140-2021")</f>
        <v/>
      </c>
      <c r="Y36">
        <f>HYPERLINK("https://klasma.github.io/Logging_1861/tillsynsmail/A 28140-2021 tillsynsbegäran mail.docx", "A 28140-2021")</f>
        <v/>
      </c>
    </row>
    <row r="37" ht="15" customHeight="1">
      <c r="A37" t="inlineStr">
        <is>
          <t>A 57764-2025</t>
        </is>
      </c>
      <c r="B37" s="1" t="n">
        <v>45981.55697916666</v>
      </c>
      <c r="C37" s="1" t="n">
        <v>46092</v>
      </c>
      <c r="D37" t="inlineStr">
        <is>
          <t>ÖREBRO LÄN</t>
        </is>
      </c>
      <c r="E37" t="inlineStr">
        <is>
          <t>HALLSBERG</t>
        </is>
      </c>
      <c r="G37" t="n">
        <v>26.3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HYPERLINK("https://klasma.github.io/Logging_1861/artfynd/A 57764-2025 artfynd.xlsx", "A 57764-2025")</f>
        <v/>
      </c>
      <c r="T37">
        <f>HYPERLINK("https://klasma.github.io/Logging_1861/kartor/A 57764-2025 karta.png", "A 57764-2025")</f>
        <v/>
      </c>
      <c r="V37">
        <f>HYPERLINK("https://klasma.github.io/Logging_1861/klagomål/A 57764-2025 FSC-klagomål.docx", "A 57764-2025")</f>
        <v/>
      </c>
      <c r="W37">
        <f>HYPERLINK("https://klasma.github.io/Logging_1861/klagomålsmail/A 57764-2025 FSC-klagomål mail.docx", "A 57764-2025")</f>
        <v/>
      </c>
      <c r="X37">
        <f>HYPERLINK("https://klasma.github.io/Logging_1861/tillsyn/A 57764-2025 tillsynsbegäran.docx", "A 57764-2025")</f>
        <v/>
      </c>
      <c r="Y37">
        <f>HYPERLINK("https://klasma.github.io/Logging_1861/tillsynsmail/A 57764-2025 tillsynsbegäran mail.docx", "A 57764-2025")</f>
        <v/>
      </c>
    </row>
    <row r="38" ht="15" customHeight="1">
      <c r="A38" t="inlineStr">
        <is>
          <t>A 40065-2025</t>
        </is>
      </c>
      <c r="B38" s="1" t="n">
        <v>45894.43561342593</v>
      </c>
      <c r="C38" s="1" t="n">
        <v>46092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3.8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Stor låsbräken</t>
        </is>
      </c>
      <c r="S38">
        <f>HYPERLINK("https://klasma.github.io/Logging_1861/artfynd/A 40065-2025 artfynd.xlsx", "A 40065-2025")</f>
        <v/>
      </c>
      <c r="T38">
        <f>HYPERLINK("https://klasma.github.io/Logging_1861/kartor/A 40065-2025 karta.png", "A 40065-2025")</f>
        <v/>
      </c>
      <c r="V38">
        <f>HYPERLINK("https://klasma.github.io/Logging_1861/klagomål/A 40065-2025 FSC-klagomål.docx", "A 40065-2025")</f>
        <v/>
      </c>
      <c r="W38">
        <f>HYPERLINK("https://klasma.github.io/Logging_1861/klagomålsmail/A 40065-2025 FSC-klagomål mail.docx", "A 40065-2025")</f>
        <v/>
      </c>
      <c r="X38">
        <f>HYPERLINK("https://klasma.github.io/Logging_1861/tillsyn/A 40065-2025 tillsynsbegäran.docx", "A 40065-2025")</f>
        <v/>
      </c>
      <c r="Y38">
        <f>HYPERLINK("https://klasma.github.io/Logging_1861/tillsynsmail/A 40065-2025 tillsynsbegäran mail.docx", "A 40065-2025")</f>
        <v/>
      </c>
    </row>
    <row r="39" ht="15" customHeight="1">
      <c r="A39" t="inlineStr">
        <is>
          <t>A 40071-2025</t>
        </is>
      </c>
      <c r="B39" s="1" t="n">
        <v>45894.44199074074</v>
      </c>
      <c r="C39" s="1" t="n">
        <v>46092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Grantaggsvamp</t>
        </is>
      </c>
      <c r="S39">
        <f>HYPERLINK("https://klasma.github.io/Logging_1861/artfynd/A 40071-2025 artfynd.xlsx", "A 40071-2025")</f>
        <v/>
      </c>
      <c r="T39">
        <f>HYPERLINK("https://klasma.github.io/Logging_1861/kartor/A 40071-2025 karta.png", "A 40071-2025")</f>
        <v/>
      </c>
      <c r="V39">
        <f>HYPERLINK("https://klasma.github.io/Logging_1861/klagomål/A 40071-2025 FSC-klagomål.docx", "A 40071-2025")</f>
        <v/>
      </c>
      <c r="W39">
        <f>HYPERLINK("https://klasma.github.io/Logging_1861/klagomålsmail/A 40071-2025 FSC-klagomål mail.docx", "A 40071-2025")</f>
        <v/>
      </c>
      <c r="X39">
        <f>HYPERLINK("https://klasma.github.io/Logging_1861/tillsyn/A 40071-2025 tillsynsbegäran.docx", "A 40071-2025")</f>
        <v/>
      </c>
      <c r="Y39">
        <f>HYPERLINK("https://klasma.github.io/Logging_1861/tillsynsmail/A 40071-2025 tillsynsbegäran mail.docx", "A 40071-2025")</f>
        <v/>
      </c>
    </row>
    <row r="40" ht="15" customHeight="1">
      <c r="A40" t="inlineStr">
        <is>
          <t>A 43380-2025</t>
        </is>
      </c>
      <c r="B40" s="1" t="n">
        <v>45911.3615162037</v>
      </c>
      <c r="C40" s="1" t="n">
        <v>46092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HYPERLINK("https://klasma.github.io/Logging_1861/artfynd/A 43380-2025 artfynd.xlsx", "A 43380-2025")</f>
        <v/>
      </c>
      <c r="T40">
        <f>HYPERLINK("https://klasma.github.io/Logging_1861/kartor/A 43380-2025 karta.png", "A 43380-2025")</f>
        <v/>
      </c>
      <c r="V40">
        <f>HYPERLINK("https://klasma.github.io/Logging_1861/klagomål/A 43380-2025 FSC-klagomål.docx", "A 43380-2025")</f>
        <v/>
      </c>
      <c r="W40">
        <f>HYPERLINK("https://klasma.github.io/Logging_1861/klagomålsmail/A 43380-2025 FSC-klagomål mail.docx", "A 43380-2025")</f>
        <v/>
      </c>
      <c r="X40">
        <f>HYPERLINK("https://klasma.github.io/Logging_1861/tillsyn/A 43380-2025 tillsynsbegäran.docx", "A 43380-2025")</f>
        <v/>
      </c>
      <c r="Y40">
        <f>HYPERLINK("https://klasma.github.io/Logging_1861/tillsynsmail/A 43380-2025 tillsynsbegäran mail.docx", "A 43380-2025")</f>
        <v/>
      </c>
      <c r="Z40">
        <f>HYPERLINK("https://klasma.github.io/Logging_1861/fåglar/A 43380-2025 prioriterade fågelarter.docx", "A 43380-2025")</f>
        <v/>
      </c>
    </row>
    <row r="41" ht="15" customHeight="1">
      <c r="A41" t="inlineStr">
        <is>
          <t>A 7470-2025</t>
        </is>
      </c>
      <c r="B41" s="1" t="n">
        <v>45705</v>
      </c>
      <c r="C41" s="1" t="n">
        <v>46092</v>
      </c>
      <c r="D41" t="inlineStr">
        <is>
          <t>ÖREBRO LÄN</t>
        </is>
      </c>
      <c r="E41" t="inlineStr">
        <is>
          <t>HALLSBERG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HYPERLINK("https://klasma.github.io/Logging_1861/artfynd/A 7470-2025 artfynd.xlsx", "A 7470-2025")</f>
        <v/>
      </c>
      <c r="T41">
        <f>HYPERLINK("https://klasma.github.io/Logging_1861/kartor/A 7470-2025 karta.png", "A 7470-2025")</f>
        <v/>
      </c>
      <c r="V41">
        <f>HYPERLINK("https://klasma.github.io/Logging_1861/klagomål/A 7470-2025 FSC-klagomål.docx", "A 7470-2025")</f>
        <v/>
      </c>
      <c r="W41">
        <f>HYPERLINK("https://klasma.github.io/Logging_1861/klagomålsmail/A 7470-2025 FSC-klagomål mail.docx", "A 7470-2025")</f>
        <v/>
      </c>
      <c r="X41">
        <f>HYPERLINK("https://klasma.github.io/Logging_1861/tillsyn/A 7470-2025 tillsynsbegäran.docx", "A 7470-2025")</f>
        <v/>
      </c>
      <c r="Y41">
        <f>HYPERLINK("https://klasma.github.io/Logging_1861/tillsynsmail/A 7470-2025 tillsynsbegäran mail.docx", "A 7470-2025")</f>
        <v/>
      </c>
    </row>
    <row r="42" ht="15" customHeight="1">
      <c r="A42" t="inlineStr">
        <is>
          <t>A 17018-2023</t>
        </is>
      </c>
      <c r="B42" s="1" t="n">
        <v>45034</v>
      </c>
      <c r="C42" s="1" t="n">
        <v>46092</v>
      </c>
      <c r="D42" t="inlineStr">
        <is>
          <t>ÖREBRO LÄN</t>
        </is>
      </c>
      <c r="E42" t="inlineStr">
        <is>
          <t>HALLSBERG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HYPERLINK("https://klasma.github.io/Logging_1861/artfynd/A 17018-2023 artfynd.xlsx", "A 17018-2023")</f>
        <v/>
      </c>
      <c r="T42">
        <f>HYPERLINK("https://klasma.github.io/Logging_1861/kartor/A 17018-2023 karta.png", "A 17018-2023")</f>
        <v/>
      </c>
      <c r="V42">
        <f>HYPERLINK("https://klasma.github.io/Logging_1861/klagomål/A 17018-2023 FSC-klagomål.docx", "A 17018-2023")</f>
        <v/>
      </c>
      <c r="W42">
        <f>HYPERLINK("https://klasma.github.io/Logging_1861/klagomålsmail/A 17018-2023 FSC-klagomål mail.docx", "A 17018-2023")</f>
        <v/>
      </c>
      <c r="X42">
        <f>HYPERLINK("https://klasma.github.io/Logging_1861/tillsyn/A 17018-2023 tillsynsbegäran.docx", "A 17018-2023")</f>
        <v/>
      </c>
      <c r="Y42">
        <f>HYPERLINK("https://klasma.github.io/Logging_1861/tillsynsmail/A 17018-2023 tillsynsbegäran mail.docx", "A 17018-2023")</f>
        <v/>
      </c>
    </row>
    <row r="43" ht="15" customHeight="1">
      <c r="A43" t="inlineStr">
        <is>
          <t>A 1250-2026</t>
        </is>
      </c>
      <c r="B43" s="1" t="n">
        <v>46031.43295138889</v>
      </c>
      <c r="C43" s="1" t="n">
        <v>46092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HYPERLINK("https://klasma.github.io/Logging_1861/artfynd/A 1250-2026 artfynd.xlsx", "A 1250-2026")</f>
        <v/>
      </c>
      <c r="T43">
        <f>HYPERLINK("https://klasma.github.io/Logging_1861/kartor/A 1250-2026 karta.png", "A 1250-2026")</f>
        <v/>
      </c>
      <c r="V43">
        <f>HYPERLINK("https://klasma.github.io/Logging_1861/klagomål/A 1250-2026 FSC-klagomål.docx", "A 1250-2026")</f>
        <v/>
      </c>
      <c r="W43">
        <f>HYPERLINK("https://klasma.github.io/Logging_1861/klagomålsmail/A 1250-2026 FSC-klagomål mail.docx", "A 1250-2026")</f>
        <v/>
      </c>
      <c r="X43">
        <f>HYPERLINK("https://klasma.github.io/Logging_1861/tillsyn/A 1250-2026 tillsynsbegäran.docx", "A 1250-2026")</f>
        <v/>
      </c>
      <c r="Y43">
        <f>HYPERLINK("https://klasma.github.io/Logging_1861/tillsynsmail/A 1250-2026 tillsynsbegäran mail.docx", "A 1250-2026")</f>
        <v/>
      </c>
      <c r="Z43">
        <f>HYPERLINK("https://klasma.github.io/Logging_1861/fåglar/A 1250-2026 prioriterade fågelarter.docx", "A 1250-2026")</f>
        <v/>
      </c>
    </row>
    <row r="44" ht="15" customHeight="1">
      <c r="A44" t="inlineStr">
        <is>
          <t>A 1195-2023</t>
        </is>
      </c>
      <c r="B44" s="1" t="n">
        <v>44935</v>
      </c>
      <c r="C44" s="1" t="n">
        <v>46092</v>
      </c>
      <c r="D44" t="inlineStr">
        <is>
          <t>ÖREBRO LÄN</t>
        </is>
      </c>
      <c r="E44" t="inlineStr">
        <is>
          <t>HALLSBERG</t>
        </is>
      </c>
      <c r="G44" t="n">
        <v>11.2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Hasselticka</t>
        </is>
      </c>
      <c r="S44">
        <f>HYPERLINK("https://klasma.github.io/Logging_1861/artfynd/A 1195-2023 artfynd.xlsx", "A 1195-2023")</f>
        <v/>
      </c>
      <c r="T44">
        <f>HYPERLINK("https://klasma.github.io/Logging_1861/kartor/A 1195-2023 karta.png", "A 1195-2023")</f>
        <v/>
      </c>
      <c r="V44">
        <f>HYPERLINK("https://klasma.github.io/Logging_1861/klagomål/A 1195-2023 FSC-klagomål.docx", "A 1195-2023")</f>
        <v/>
      </c>
      <c r="W44">
        <f>HYPERLINK("https://klasma.github.io/Logging_1861/klagomålsmail/A 1195-2023 FSC-klagomål mail.docx", "A 1195-2023")</f>
        <v/>
      </c>
      <c r="X44">
        <f>HYPERLINK("https://klasma.github.io/Logging_1861/tillsyn/A 1195-2023 tillsynsbegäran.docx", "A 1195-2023")</f>
        <v/>
      </c>
      <c r="Y44">
        <f>HYPERLINK("https://klasma.github.io/Logging_1861/tillsynsmail/A 1195-2023 tillsynsbegäran mail.docx", "A 1195-2023")</f>
        <v/>
      </c>
    </row>
    <row r="45" ht="15" customHeight="1">
      <c r="A45" t="inlineStr">
        <is>
          <t>A 51919-2025</t>
        </is>
      </c>
      <c r="B45" s="1" t="n">
        <v>45952.48162037037</v>
      </c>
      <c r="C45" s="1" t="n">
        <v>46092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Stor låsbräken</t>
        </is>
      </c>
      <c r="S45">
        <f>HYPERLINK("https://klasma.github.io/Logging_1861/artfynd/A 51919-2025 artfynd.xlsx", "A 51919-2025")</f>
        <v/>
      </c>
      <c r="T45">
        <f>HYPERLINK("https://klasma.github.io/Logging_1861/kartor/A 51919-2025 karta.png", "A 51919-2025")</f>
        <v/>
      </c>
      <c r="V45">
        <f>HYPERLINK("https://klasma.github.io/Logging_1861/klagomål/A 51919-2025 FSC-klagomål.docx", "A 51919-2025")</f>
        <v/>
      </c>
      <c r="W45">
        <f>HYPERLINK("https://klasma.github.io/Logging_1861/klagomålsmail/A 51919-2025 FSC-klagomål mail.docx", "A 51919-2025")</f>
        <v/>
      </c>
      <c r="X45">
        <f>HYPERLINK("https://klasma.github.io/Logging_1861/tillsyn/A 51919-2025 tillsynsbegäran.docx", "A 51919-2025")</f>
        <v/>
      </c>
      <c r="Y45">
        <f>HYPERLINK("https://klasma.github.io/Logging_1861/tillsynsmail/A 51919-2025 tillsynsbegäran mail.docx", "A 51919-2025")</f>
        <v/>
      </c>
    </row>
    <row r="46" ht="15" customHeight="1">
      <c r="A46" t="inlineStr">
        <is>
          <t>A 51922-2025</t>
        </is>
      </c>
      <c r="B46" s="1" t="n">
        <v>45952.48967592593</v>
      </c>
      <c r="C46" s="1" t="n">
        <v>46092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Grantaggsvamp</t>
        </is>
      </c>
      <c r="S46">
        <f>HYPERLINK("https://klasma.github.io/Logging_1861/artfynd/A 51922-2025 artfynd.xlsx", "A 51922-2025")</f>
        <v/>
      </c>
      <c r="T46">
        <f>HYPERLINK("https://klasma.github.io/Logging_1861/kartor/A 51922-2025 karta.png", "A 51922-2025")</f>
        <v/>
      </c>
      <c r="V46">
        <f>HYPERLINK("https://klasma.github.io/Logging_1861/klagomål/A 51922-2025 FSC-klagomål.docx", "A 51922-2025")</f>
        <v/>
      </c>
      <c r="W46">
        <f>HYPERLINK("https://klasma.github.io/Logging_1861/klagomålsmail/A 51922-2025 FSC-klagomål mail.docx", "A 51922-2025")</f>
        <v/>
      </c>
      <c r="X46">
        <f>HYPERLINK("https://klasma.github.io/Logging_1861/tillsyn/A 51922-2025 tillsynsbegäran.docx", "A 51922-2025")</f>
        <v/>
      </c>
      <c r="Y46">
        <f>HYPERLINK("https://klasma.github.io/Logging_1861/tillsynsmail/A 51922-2025 tillsynsbegäran mail.docx", "A 51922-2025")</f>
        <v/>
      </c>
    </row>
    <row r="47" ht="15" customHeight="1">
      <c r="A47" t="inlineStr">
        <is>
          <t>A 22962-2021</t>
        </is>
      </c>
      <c r="B47" s="1" t="n">
        <v>44328</v>
      </c>
      <c r="C47" s="1" t="n">
        <v>46092</v>
      </c>
      <c r="D47" t="inlineStr">
        <is>
          <t>ÖREBRO LÄN</t>
        </is>
      </c>
      <c r="E47" t="inlineStr">
        <is>
          <t>HALLSBERG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HYPERLINK("https://klasma.github.io/Logging_1861/artfynd/A 22962-2021 artfynd.xlsx", "A 22962-2021")</f>
        <v/>
      </c>
      <c r="T47">
        <f>HYPERLINK("https://klasma.github.io/Logging_1861/kartor/A 22962-2021 karta.png", "A 22962-2021")</f>
        <v/>
      </c>
      <c r="V47">
        <f>HYPERLINK("https://klasma.github.io/Logging_1861/klagomål/A 22962-2021 FSC-klagomål.docx", "A 22962-2021")</f>
        <v/>
      </c>
      <c r="W47">
        <f>HYPERLINK("https://klasma.github.io/Logging_1861/klagomålsmail/A 22962-2021 FSC-klagomål mail.docx", "A 22962-2021")</f>
        <v/>
      </c>
      <c r="X47">
        <f>HYPERLINK("https://klasma.github.io/Logging_1861/tillsyn/A 22962-2021 tillsynsbegäran.docx", "A 22962-2021")</f>
        <v/>
      </c>
      <c r="Y47">
        <f>HYPERLINK("https://klasma.github.io/Logging_1861/tillsynsmail/A 22962-2021 tillsynsbegäran mail.docx", "A 22962-2021")</f>
        <v/>
      </c>
    </row>
    <row r="48" ht="15" customHeight="1">
      <c r="A48" t="inlineStr">
        <is>
          <t>A 37704-2025</t>
        </is>
      </c>
      <c r="B48" s="1" t="n">
        <v>45880.59251157408</v>
      </c>
      <c r="C48" s="1" t="n">
        <v>46092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HYPERLINK("https://klasma.github.io/Logging_1861/artfynd/A 37704-2025 artfynd.xlsx", "A 37704-2025")</f>
        <v/>
      </c>
      <c r="T48">
        <f>HYPERLINK("https://klasma.github.io/Logging_1861/kartor/A 37704-2025 karta.png", "A 37704-2025")</f>
        <v/>
      </c>
      <c r="V48">
        <f>HYPERLINK("https://klasma.github.io/Logging_1861/klagomål/A 37704-2025 FSC-klagomål.docx", "A 37704-2025")</f>
        <v/>
      </c>
      <c r="W48">
        <f>HYPERLINK("https://klasma.github.io/Logging_1861/klagomålsmail/A 37704-2025 FSC-klagomål mail.docx", "A 37704-2025")</f>
        <v/>
      </c>
      <c r="X48">
        <f>HYPERLINK("https://klasma.github.io/Logging_1861/tillsyn/A 37704-2025 tillsynsbegäran.docx", "A 37704-2025")</f>
        <v/>
      </c>
      <c r="Y48">
        <f>HYPERLINK("https://klasma.github.io/Logging_1861/tillsynsmail/A 37704-2025 tillsynsbegäran mail.docx", "A 37704-2025")</f>
        <v/>
      </c>
    </row>
    <row r="49" ht="15" customHeight="1">
      <c r="A49" t="inlineStr">
        <is>
          <t>A 37691-2025</t>
        </is>
      </c>
      <c r="B49" s="1" t="n">
        <v>45880.56877314814</v>
      </c>
      <c r="C49" s="1" t="n">
        <v>46092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HYPERLINK("https://klasma.github.io/Logging_1861/artfynd/A 37691-2025 artfynd.xlsx", "A 37691-2025")</f>
        <v/>
      </c>
      <c r="T49">
        <f>HYPERLINK("https://klasma.github.io/Logging_1861/kartor/A 37691-2025 karta.png", "A 37691-2025")</f>
        <v/>
      </c>
      <c r="V49">
        <f>HYPERLINK("https://klasma.github.io/Logging_1861/klagomål/A 37691-2025 FSC-klagomål.docx", "A 37691-2025")</f>
        <v/>
      </c>
      <c r="W49">
        <f>HYPERLINK("https://klasma.github.io/Logging_1861/klagomålsmail/A 37691-2025 FSC-klagomål mail.docx", "A 37691-2025")</f>
        <v/>
      </c>
      <c r="X49">
        <f>HYPERLINK("https://klasma.github.io/Logging_1861/tillsyn/A 37691-2025 tillsynsbegäran.docx", "A 37691-2025")</f>
        <v/>
      </c>
      <c r="Y49">
        <f>HYPERLINK("https://klasma.github.io/Logging_1861/tillsynsmail/A 37691-2025 tillsynsbegäran mail.docx", "A 37691-2025")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46092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46092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46092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55115-2022</t>
        </is>
      </c>
      <c r="B53" s="1" t="n">
        <v>44886.64203703704</v>
      </c>
      <c r="C53" s="1" t="n">
        <v>46092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HYPERLINK("https://klasma.github.io/Logging_1861/artfynd/A 55115-2022 artfynd.xlsx", "A 55115-2022")</f>
        <v/>
      </c>
      <c r="T53">
        <f>HYPERLINK("https://klasma.github.io/Logging_1861/kartor/A 55115-2022 karta.png", "A 55115-2022")</f>
        <v/>
      </c>
      <c r="V53">
        <f>HYPERLINK("https://klasma.github.io/Logging_1861/klagomål/A 55115-2022 FSC-klagomål.docx", "A 55115-2022")</f>
        <v/>
      </c>
      <c r="W53">
        <f>HYPERLINK("https://klasma.github.io/Logging_1861/klagomålsmail/A 55115-2022 FSC-klagomål mail.docx", "A 55115-2022")</f>
        <v/>
      </c>
      <c r="X53">
        <f>HYPERLINK("https://klasma.github.io/Logging_1861/tillsyn/A 55115-2022 tillsynsbegäran.docx", "A 55115-2022")</f>
        <v/>
      </c>
      <c r="Y53">
        <f>HYPERLINK("https://klasma.github.io/Logging_1861/tillsynsmail/A 55115-2022 tillsynsbegäran mail.docx", "A 55115-2022")</f>
        <v/>
      </c>
    </row>
    <row r="54" ht="15" customHeight="1">
      <c r="A54" t="inlineStr">
        <is>
          <t>A 14064-2024</t>
        </is>
      </c>
      <c r="B54" s="1" t="n">
        <v>45392.56644675926</v>
      </c>
      <c r="C54" s="1" t="n">
        <v>46092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46092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46092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46092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46092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46092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46092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46092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46092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46092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46092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46092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46092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46092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46092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46092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12461-2021</t>
        </is>
      </c>
      <c r="B70" s="1" t="n">
        <v>44267.65956018519</v>
      </c>
      <c r="C70" s="1" t="n">
        <v>46092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46092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23856-2021</t>
        </is>
      </c>
      <c r="B72" s="1" t="n">
        <v>44335.4658912037</v>
      </c>
      <c r="C72" s="1" t="n">
        <v>46092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39725-2022</t>
        </is>
      </c>
      <c r="B73" s="1" t="n">
        <v>44816</v>
      </c>
      <c r="C73" s="1" t="n">
        <v>46092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49645-2022</t>
        </is>
      </c>
      <c r="B74" s="1" t="n">
        <v>44862.44369212963</v>
      </c>
      <c r="C74" s="1" t="n">
        <v>46092</v>
      </c>
      <c r="D74" t="inlineStr">
        <is>
          <t>ÖREBRO LÄN</t>
        </is>
      </c>
      <c r="E74" t="inlineStr">
        <is>
          <t>HALLSBERG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15086-2022</t>
        </is>
      </c>
      <c r="B75" s="1" t="n">
        <v>44657</v>
      </c>
      <c r="C75" s="1" t="n">
        <v>46092</v>
      </c>
      <c r="D75" t="inlineStr">
        <is>
          <t>ÖREBRO LÄN</t>
        </is>
      </c>
      <c r="E75" t="inlineStr">
        <is>
          <t>HALLSBERG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9426-2022</t>
        </is>
      </c>
      <c r="B76" s="1" t="n">
        <v>44616.68016203704</v>
      </c>
      <c r="C76" s="1" t="n">
        <v>46092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23330-2022</t>
        </is>
      </c>
      <c r="B77" s="1" t="n">
        <v>44720</v>
      </c>
      <c r="C77" s="1" t="n">
        <v>46092</v>
      </c>
      <c r="D77" t="inlineStr">
        <is>
          <t>ÖREBRO LÄN</t>
        </is>
      </c>
      <c r="E77" t="inlineStr">
        <is>
          <t>HALLSBERG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70153-2021</t>
        </is>
      </c>
      <c r="B78" s="1" t="n">
        <v>44533.67351851852</v>
      </c>
      <c r="C78" s="1" t="n">
        <v>46092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14345-2022</t>
        </is>
      </c>
      <c r="B79" s="1" t="n">
        <v>44651</v>
      </c>
      <c r="C79" s="1" t="n">
        <v>46092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30145-2022</t>
        </is>
      </c>
      <c r="B80" s="1" t="n">
        <v>44757.49012731481</v>
      </c>
      <c r="C80" s="1" t="n">
        <v>46092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44216-2022</t>
        </is>
      </c>
      <c r="B81" s="1" t="n">
        <v>44839.49916666667</v>
      </c>
      <c r="C81" s="1" t="n">
        <v>46092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44228-2021</t>
        </is>
      </c>
      <c r="B82" s="1" t="n">
        <v>44434.9337037037</v>
      </c>
      <c r="C82" s="1" t="n">
        <v>46092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30144-2022</t>
        </is>
      </c>
      <c r="B83" s="1" t="n">
        <v>44757.48751157407</v>
      </c>
      <c r="C83" s="1" t="n">
        <v>46092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70160-2021</t>
        </is>
      </c>
      <c r="B84" s="1" t="n">
        <v>44533.69733796296</v>
      </c>
      <c r="C84" s="1" t="n">
        <v>46092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18556-2024</t>
        </is>
      </c>
      <c r="B85" s="1" t="n">
        <v>45425.65702546296</v>
      </c>
      <c r="C85" s="1" t="n">
        <v>46092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6366-2024</t>
        </is>
      </c>
      <c r="B86" s="1" t="n">
        <v>45338</v>
      </c>
      <c r="C86" s="1" t="n">
        <v>46092</v>
      </c>
      <c r="D86" t="inlineStr">
        <is>
          <t>ÖREBRO LÄN</t>
        </is>
      </c>
      <c r="E86" t="inlineStr">
        <is>
          <t>HALLSBERG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14621-2024</t>
        </is>
      </c>
      <c r="B87" s="1" t="n">
        <v>45397.31064814814</v>
      </c>
      <c r="C87" s="1" t="n">
        <v>46092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59176-2021</t>
        </is>
      </c>
      <c r="B88" s="1" t="n">
        <v>44490</v>
      </c>
      <c r="C88" s="1" t="n">
        <v>46092</v>
      </c>
      <c r="D88" t="inlineStr">
        <is>
          <t>ÖREBRO LÄN</t>
        </is>
      </c>
      <c r="E88" t="inlineStr">
        <is>
          <t>HALLSBERG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9126-2022</t>
        </is>
      </c>
      <c r="B89" s="1" t="n">
        <v>44615.58527777778</v>
      </c>
      <c r="C89" s="1" t="n">
        <v>46092</v>
      </c>
      <c r="D89" t="inlineStr">
        <is>
          <t>ÖREBRO LÄN</t>
        </is>
      </c>
      <c r="E89" t="inlineStr">
        <is>
          <t>HALLSBERG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4587-2023</t>
        </is>
      </c>
      <c r="B90" s="1" t="n">
        <v>44956.8174537037</v>
      </c>
      <c r="C90" s="1" t="n">
        <v>46092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50891-2024</t>
        </is>
      </c>
      <c r="B91" s="1" t="n">
        <v>45602.67336805556</v>
      </c>
      <c r="C91" s="1" t="n">
        <v>46092</v>
      </c>
      <c r="D91" t="inlineStr">
        <is>
          <t>ÖREBRO LÄN</t>
        </is>
      </c>
      <c r="E91" t="inlineStr">
        <is>
          <t>HALLSBERG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9185-2025</t>
        </is>
      </c>
      <c r="B92" s="1" t="n">
        <v>45714.44074074074</v>
      </c>
      <c r="C92" s="1" t="n">
        <v>46092</v>
      </c>
      <c r="D92" t="inlineStr">
        <is>
          <t>ÖREBRO LÄN</t>
        </is>
      </c>
      <c r="E92" t="inlineStr">
        <is>
          <t>HALLSBERG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64419-2023</t>
        </is>
      </c>
      <c r="B93" s="1" t="n">
        <v>45280.65321759259</v>
      </c>
      <c r="C93" s="1" t="n">
        <v>46092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55329-2025</t>
        </is>
      </c>
      <c r="B94" s="1" t="n">
        <v>45971.34008101852</v>
      </c>
      <c r="C94" s="1" t="n">
        <v>46092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14333-2022</t>
        </is>
      </c>
      <c r="B95" s="1" t="n">
        <v>44651</v>
      </c>
      <c r="C95" s="1" t="n">
        <v>46092</v>
      </c>
      <c r="D95" t="inlineStr">
        <is>
          <t>ÖREBRO LÄN</t>
        </is>
      </c>
      <c r="E95" t="inlineStr">
        <is>
          <t>HALLSBERG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69230-2021</t>
        </is>
      </c>
      <c r="B96" s="1" t="n">
        <v>44531</v>
      </c>
      <c r="C96" s="1" t="n">
        <v>46092</v>
      </c>
      <c r="D96" t="inlineStr">
        <is>
          <t>ÖREBRO LÄN</t>
        </is>
      </c>
      <c r="E96" t="inlineStr">
        <is>
          <t>HALLSBERG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55210-2025</t>
        </is>
      </c>
      <c r="B97" s="1" t="n">
        <v>45968.57971064815</v>
      </c>
      <c r="C97" s="1" t="n">
        <v>46092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29907-2024</t>
        </is>
      </c>
      <c r="B98" s="1" t="n">
        <v>45487.82146990741</v>
      </c>
      <c r="C98" s="1" t="n">
        <v>46092</v>
      </c>
      <c r="D98" t="inlineStr">
        <is>
          <t>ÖREBRO LÄN</t>
        </is>
      </c>
      <c r="E98" t="inlineStr">
        <is>
          <t>HALLSBERG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56061-2025</t>
        </is>
      </c>
      <c r="B99" s="1" t="n">
        <v>45973.63927083334</v>
      </c>
      <c r="C99" s="1" t="n">
        <v>46092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24760-2024</t>
        </is>
      </c>
      <c r="B100" s="1" t="n">
        <v>45460.68122685186</v>
      </c>
      <c r="C100" s="1" t="n">
        <v>46092</v>
      </c>
      <c r="D100" t="inlineStr">
        <is>
          <t>ÖREBRO LÄN</t>
        </is>
      </c>
      <c r="E100" t="inlineStr">
        <is>
          <t>HALLSBERG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13168-2023</t>
        </is>
      </c>
      <c r="B101" s="1" t="n">
        <v>45002</v>
      </c>
      <c r="C101" s="1" t="n">
        <v>46092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16441-2025</t>
        </is>
      </c>
      <c r="B102" s="1" t="n">
        <v>45751.49979166667</v>
      </c>
      <c r="C102" s="1" t="n">
        <v>46092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6779-2025</t>
        </is>
      </c>
      <c r="B103" s="1" t="n">
        <v>45700.64820601852</v>
      </c>
      <c r="C103" s="1" t="n">
        <v>46092</v>
      </c>
      <c r="D103" t="inlineStr">
        <is>
          <t>ÖREBRO LÄN</t>
        </is>
      </c>
      <c r="E103" t="inlineStr">
        <is>
          <t>HALLSBERG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56885-2025</t>
        </is>
      </c>
      <c r="B104" s="1" t="n">
        <v>45978.55758101852</v>
      </c>
      <c r="C104" s="1" t="n">
        <v>46092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34227-2022</t>
        </is>
      </c>
      <c r="B105" s="1" t="n">
        <v>44791</v>
      </c>
      <c r="C105" s="1" t="n">
        <v>46092</v>
      </c>
      <c r="D105" t="inlineStr">
        <is>
          <t>ÖREBRO LÄN</t>
        </is>
      </c>
      <c r="E105" t="inlineStr">
        <is>
          <t>HALLSBERG</t>
        </is>
      </c>
      <c r="F105" t="inlineStr">
        <is>
          <t>Övriga Aktiebolag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41595-2022</t>
        </is>
      </c>
      <c r="B106" s="1" t="n">
        <v>44827.45902777778</v>
      </c>
      <c r="C106" s="1" t="n">
        <v>46092</v>
      </c>
      <c r="D106" t="inlineStr">
        <is>
          <t>ÖREBRO LÄN</t>
        </is>
      </c>
      <c r="E106" t="inlineStr">
        <is>
          <t>HALLSBERG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53247-2024</t>
        </is>
      </c>
      <c r="B107" s="1" t="n">
        <v>45614.06451388889</v>
      </c>
      <c r="C107" s="1" t="n">
        <v>46092</v>
      </c>
      <c r="D107" t="inlineStr">
        <is>
          <t>ÖREBRO LÄN</t>
        </is>
      </c>
      <c r="E107" t="inlineStr">
        <is>
          <t>HALLSBERG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56881-2025</t>
        </is>
      </c>
      <c r="B108" s="1" t="n">
        <v>45978.55412037037</v>
      </c>
      <c r="C108" s="1" t="n">
        <v>46092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56890-2025</t>
        </is>
      </c>
      <c r="B109" s="1" t="n">
        <v>45978.56460648148</v>
      </c>
      <c r="C109" s="1" t="n">
        <v>46092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56878-2025</t>
        </is>
      </c>
      <c r="B110" s="1" t="n">
        <v>45978.54403935185</v>
      </c>
      <c r="C110" s="1" t="n">
        <v>46092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56839-2025</t>
        </is>
      </c>
      <c r="B111" s="1" t="n">
        <v>45978.48106481481</v>
      </c>
      <c r="C111" s="1" t="n">
        <v>46092</v>
      </c>
      <c r="D111" t="inlineStr">
        <is>
          <t>ÖREBRO LÄN</t>
        </is>
      </c>
      <c r="E111" t="inlineStr">
        <is>
          <t>HALLSBERG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19709-2024</t>
        </is>
      </c>
      <c r="B112" s="1" t="n">
        <v>45432.55381944445</v>
      </c>
      <c r="C112" s="1" t="n">
        <v>46092</v>
      </c>
      <c r="D112" t="inlineStr">
        <is>
          <t>ÖREBRO LÄN</t>
        </is>
      </c>
      <c r="E112" t="inlineStr">
        <is>
          <t>HALLSBERG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11726-2025</t>
        </is>
      </c>
      <c r="B113" s="1" t="n">
        <v>45727</v>
      </c>
      <c r="C113" s="1" t="n">
        <v>46092</v>
      </c>
      <c r="D113" t="inlineStr">
        <is>
          <t>ÖREBRO LÄN</t>
        </is>
      </c>
      <c r="E113" t="inlineStr">
        <is>
          <t>HALLSBERG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57766-2025</t>
        </is>
      </c>
      <c r="B114" s="1" t="n">
        <v>45981.5586574074</v>
      </c>
      <c r="C114" s="1" t="n">
        <v>46092</v>
      </c>
      <c r="D114" t="inlineStr">
        <is>
          <t>ÖREBRO LÄN</t>
        </is>
      </c>
      <c r="E114" t="inlineStr">
        <is>
          <t>HALLSBERG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46602-2024</t>
        </is>
      </c>
      <c r="B115" s="1" t="n">
        <v>45582.87300925926</v>
      </c>
      <c r="C115" s="1" t="n">
        <v>46092</v>
      </c>
      <c r="D115" t="inlineStr">
        <is>
          <t>ÖREBRO LÄN</t>
        </is>
      </c>
      <c r="E115" t="inlineStr">
        <is>
          <t>HALLSBERG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37277-2024</t>
        </is>
      </c>
      <c r="B116" s="1" t="n">
        <v>45540.40835648148</v>
      </c>
      <c r="C116" s="1" t="n">
        <v>46092</v>
      </c>
      <c r="D116" t="inlineStr">
        <is>
          <t>ÖREBRO LÄN</t>
        </is>
      </c>
      <c r="E116" t="inlineStr">
        <is>
          <t>HALLSBERG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50893-2024</t>
        </is>
      </c>
      <c r="B117" s="1" t="n">
        <v>45602.67616898148</v>
      </c>
      <c r="C117" s="1" t="n">
        <v>46092</v>
      </c>
      <c r="D117" t="inlineStr">
        <is>
          <t>ÖREBRO LÄN</t>
        </is>
      </c>
      <c r="E117" t="inlineStr">
        <is>
          <t>HALLSBERG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6766-2025</t>
        </is>
      </c>
      <c r="B118" s="1" t="n">
        <v>45700.63533564815</v>
      </c>
      <c r="C118" s="1" t="n">
        <v>46092</v>
      </c>
      <c r="D118" t="inlineStr">
        <is>
          <t>ÖREBRO LÄN</t>
        </is>
      </c>
      <c r="E118" t="inlineStr">
        <is>
          <t>HALLSBERG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58765-2025</t>
        </is>
      </c>
      <c r="B119" s="1" t="n">
        <v>45986.66369212963</v>
      </c>
      <c r="C119" s="1" t="n">
        <v>46092</v>
      </c>
      <c r="D119" t="inlineStr">
        <is>
          <t>ÖREBRO LÄN</t>
        </is>
      </c>
      <c r="E119" t="inlineStr">
        <is>
          <t>HALLSBERG</t>
        </is>
      </c>
      <c r="F119" t="inlineStr">
        <is>
          <t>Allmännings- och besparingsskogar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25805-2024</t>
        </is>
      </c>
      <c r="B120" s="1" t="n">
        <v>45467.36495370371</v>
      </c>
      <c r="C120" s="1" t="n">
        <v>46092</v>
      </c>
      <c r="D120" t="inlineStr">
        <is>
          <t>ÖREBRO LÄN</t>
        </is>
      </c>
      <c r="E120" t="inlineStr">
        <is>
          <t>HALLSBERG</t>
        </is>
      </c>
      <c r="F120" t="inlineStr">
        <is>
          <t>Allmännings- och besparingsskogar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39920-2025</t>
        </is>
      </c>
      <c r="B121" s="1" t="n">
        <v>45891.66709490741</v>
      </c>
      <c r="C121" s="1" t="n">
        <v>46092</v>
      </c>
      <c r="D121" t="inlineStr">
        <is>
          <t>ÖREBRO LÄN</t>
        </is>
      </c>
      <c r="E121" t="inlineStr">
        <is>
          <t>HALLSBERG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40067-2025</t>
        </is>
      </c>
      <c r="B122" s="1" t="n">
        <v>45894.43824074074</v>
      </c>
      <c r="C122" s="1" t="n">
        <v>46092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59165-2025</t>
        </is>
      </c>
      <c r="B123" s="1" t="n">
        <v>45988</v>
      </c>
      <c r="C123" s="1" t="n">
        <v>46092</v>
      </c>
      <c r="D123" t="inlineStr">
        <is>
          <t>ÖREBRO LÄN</t>
        </is>
      </c>
      <c r="E123" t="inlineStr">
        <is>
          <t>HALLSBERG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40063-2025</t>
        </is>
      </c>
      <c r="B124" s="1" t="n">
        <v>45894.4325</v>
      </c>
      <c r="C124" s="1" t="n">
        <v>46092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59049-2025</t>
        </is>
      </c>
      <c r="B125" s="1" t="n">
        <v>45988.38333333333</v>
      </c>
      <c r="C125" s="1" t="n">
        <v>46092</v>
      </c>
      <c r="D125" t="inlineStr">
        <is>
          <t>ÖREBRO LÄN</t>
        </is>
      </c>
      <c r="E125" t="inlineStr">
        <is>
          <t>HALLSBERG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40072-2025</t>
        </is>
      </c>
      <c r="B126" s="1" t="n">
        <v>45894.44390046296</v>
      </c>
      <c r="C126" s="1" t="n">
        <v>46092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53009-2023</t>
        </is>
      </c>
      <c r="B127" s="1" t="n">
        <v>45226</v>
      </c>
      <c r="C127" s="1" t="n">
        <v>46092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59965-2025</t>
        </is>
      </c>
      <c r="B128" s="1" t="n">
        <v>45993.48270833334</v>
      </c>
      <c r="C128" s="1" t="n">
        <v>46092</v>
      </c>
      <c r="D128" t="inlineStr">
        <is>
          <t>ÖREBRO LÄN</t>
        </is>
      </c>
      <c r="E128" t="inlineStr">
        <is>
          <t>HALLSBERG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59861-2025</t>
        </is>
      </c>
      <c r="B129" s="1" t="n">
        <v>45992.80664351852</v>
      </c>
      <c r="C129" s="1" t="n">
        <v>46092</v>
      </c>
      <c r="D129" t="inlineStr">
        <is>
          <t>ÖREBRO LÄN</t>
        </is>
      </c>
      <c r="E129" t="inlineStr">
        <is>
          <t>HALLSBERG</t>
        </is>
      </c>
      <c r="F129" t="inlineStr">
        <is>
          <t>Kommuner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6776-2025</t>
        </is>
      </c>
      <c r="B130" s="1" t="n">
        <v>45700.64421296296</v>
      </c>
      <c r="C130" s="1" t="n">
        <v>46092</v>
      </c>
      <c r="D130" t="inlineStr">
        <is>
          <t>ÖREBRO LÄN</t>
        </is>
      </c>
      <c r="E130" t="inlineStr">
        <is>
          <t>HALLSBERG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60558-2025</t>
        </is>
      </c>
      <c r="B131" s="1" t="n">
        <v>45995.74844907408</v>
      </c>
      <c r="C131" s="1" t="n">
        <v>46092</v>
      </c>
      <c r="D131" t="inlineStr">
        <is>
          <t>ÖREBRO LÄN</t>
        </is>
      </c>
      <c r="E131" t="inlineStr">
        <is>
          <t>HALLSBERG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18512-2022</t>
        </is>
      </c>
      <c r="B132" s="1" t="n">
        <v>44686.66105324074</v>
      </c>
      <c r="C132" s="1" t="n">
        <v>46092</v>
      </c>
      <c r="D132" t="inlineStr">
        <is>
          <t>ÖREBRO LÄN</t>
        </is>
      </c>
      <c r="E132" t="inlineStr">
        <is>
          <t>HALLSBERG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24628-2023</t>
        </is>
      </c>
      <c r="B133" s="1" t="n">
        <v>45084.39651620371</v>
      </c>
      <c r="C133" s="1" t="n">
        <v>46092</v>
      </c>
      <c r="D133" t="inlineStr">
        <is>
          <t>ÖREBRO LÄN</t>
        </is>
      </c>
      <c r="E133" t="inlineStr">
        <is>
          <t>HALLSBERG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41602-2022</t>
        </is>
      </c>
      <c r="B134" s="1" t="n">
        <v>44827</v>
      </c>
      <c r="C134" s="1" t="n">
        <v>46092</v>
      </c>
      <c r="D134" t="inlineStr">
        <is>
          <t>ÖREBRO LÄN</t>
        </is>
      </c>
      <c r="E134" t="inlineStr">
        <is>
          <t>HALLSBERG</t>
        </is>
      </c>
      <c r="F134" t="inlineStr">
        <is>
          <t>Kommuner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41468-2025</t>
        </is>
      </c>
      <c r="B135" s="1" t="n">
        <v>45896</v>
      </c>
      <c r="C135" s="1" t="n">
        <v>46092</v>
      </c>
      <c r="D135" t="inlineStr">
        <is>
          <t>ÖREBRO LÄN</t>
        </is>
      </c>
      <c r="E135" t="inlineStr">
        <is>
          <t>HALLSBERG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61526-2025</t>
        </is>
      </c>
      <c r="B136" s="1" t="n">
        <v>46001</v>
      </c>
      <c r="C136" s="1" t="n">
        <v>46092</v>
      </c>
      <c r="D136" t="inlineStr">
        <is>
          <t>ÖREBRO LÄN</t>
        </is>
      </c>
      <c r="E136" t="inlineStr">
        <is>
          <t>HALLSBERG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44616-2024</t>
        </is>
      </c>
      <c r="B137" s="1" t="n">
        <v>45574.51289351852</v>
      </c>
      <c r="C137" s="1" t="n">
        <v>46092</v>
      </c>
      <c r="D137" t="inlineStr">
        <is>
          <t>ÖREBRO LÄN</t>
        </is>
      </c>
      <c r="E137" t="inlineStr">
        <is>
          <t>HALLSBERG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41695-2025</t>
        </is>
      </c>
      <c r="B138" s="1" t="n">
        <v>45902.40634259259</v>
      </c>
      <c r="C138" s="1" t="n">
        <v>46092</v>
      </c>
      <c r="D138" t="inlineStr">
        <is>
          <t>ÖREBRO LÄN</t>
        </is>
      </c>
      <c r="E138" t="inlineStr">
        <is>
          <t>HALLSBERG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19750-2024</t>
        </is>
      </c>
      <c r="B139" s="1" t="n">
        <v>45432.66407407408</v>
      </c>
      <c r="C139" s="1" t="n">
        <v>46092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41807-2025</t>
        </is>
      </c>
      <c r="B140" s="1" t="n">
        <v>45902.64018518518</v>
      </c>
      <c r="C140" s="1" t="n">
        <v>46092</v>
      </c>
      <c r="D140" t="inlineStr">
        <is>
          <t>ÖREBRO LÄN</t>
        </is>
      </c>
      <c r="E140" t="inlineStr">
        <is>
          <t>HALLSBERG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24231-2025</t>
        </is>
      </c>
      <c r="B141" s="1" t="n">
        <v>45797</v>
      </c>
      <c r="C141" s="1" t="n">
        <v>46092</v>
      </c>
      <c r="D141" t="inlineStr">
        <is>
          <t>ÖREBRO LÄN</t>
        </is>
      </c>
      <c r="E141" t="inlineStr">
        <is>
          <t>HALLSBERG</t>
        </is>
      </c>
      <c r="F141" t="inlineStr">
        <is>
          <t>Kyrkan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41693-2025</t>
        </is>
      </c>
      <c r="B142" s="1" t="n">
        <v>45902.40513888889</v>
      </c>
      <c r="C142" s="1" t="n">
        <v>46092</v>
      </c>
      <c r="D142" t="inlineStr">
        <is>
          <t>ÖREBRO LÄN</t>
        </is>
      </c>
      <c r="E142" t="inlineStr">
        <is>
          <t>HALLSBERG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53329-2023</t>
        </is>
      </c>
      <c r="B143" s="1" t="n">
        <v>45229</v>
      </c>
      <c r="C143" s="1" t="n">
        <v>46092</v>
      </c>
      <c r="D143" t="inlineStr">
        <is>
          <t>ÖREBRO LÄN</t>
        </is>
      </c>
      <c r="E143" t="inlineStr">
        <is>
          <t>HALLSBERG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42411-2025</t>
        </is>
      </c>
      <c r="B144" s="1" t="n">
        <v>45905.3868287037</v>
      </c>
      <c r="C144" s="1" t="n">
        <v>46092</v>
      </c>
      <c r="D144" t="inlineStr">
        <is>
          <t>ÖREBRO LÄN</t>
        </is>
      </c>
      <c r="E144" t="inlineStr">
        <is>
          <t>HALLSBERG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41886-2023</t>
        </is>
      </c>
      <c r="B145" s="1" t="n">
        <v>45176.68957175926</v>
      </c>
      <c r="C145" s="1" t="n">
        <v>46092</v>
      </c>
      <c r="D145" t="inlineStr">
        <is>
          <t>ÖREBRO LÄN</t>
        </is>
      </c>
      <c r="E145" t="inlineStr">
        <is>
          <t>HALLSBERG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42604-2025</t>
        </is>
      </c>
      <c r="B146" s="1" t="n">
        <v>45905.67453703703</v>
      </c>
      <c r="C146" s="1" t="n">
        <v>46092</v>
      </c>
      <c r="D146" t="inlineStr">
        <is>
          <t>ÖREBRO LÄN</t>
        </is>
      </c>
      <c r="E146" t="inlineStr">
        <is>
          <t>HALLSBERG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45862-2023</t>
        </is>
      </c>
      <c r="B147" s="1" t="n">
        <v>45195</v>
      </c>
      <c r="C147" s="1" t="n">
        <v>46092</v>
      </c>
      <c r="D147" t="inlineStr">
        <is>
          <t>ÖREBRO LÄN</t>
        </is>
      </c>
      <c r="E147" t="inlineStr">
        <is>
          <t>HALLSBERG</t>
        </is>
      </c>
      <c r="F147" t="inlineStr">
        <is>
          <t>Allmännings- och besparingsskogar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37698-2023</t>
        </is>
      </c>
      <c r="B148" s="1" t="n">
        <v>45159.57568287037</v>
      </c>
      <c r="C148" s="1" t="n">
        <v>46092</v>
      </c>
      <c r="D148" t="inlineStr">
        <is>
          <t>ÖREBRO LÄN</t>
        </is>
      </c>
      <c r="E148" t="inlineStr">
        <is>
          <t>HALLSBERG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25473-2025</t>
        </is>
      </c>
      <c r="B149" s="1" t="n">
        <v>45802.75168981482</v>
      </c>
      <c r="C149" s="1" t="n">
        <v>46092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62990-2025</t>
        </is>
      </c>
      <c r="B150" s="1" t="n">
        <v>46009.514375</v>
      </c>
      <c r="C150" s="1" t="n">
        <v>46092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43379-2025</t>
        </is>
      </c>
      <c r="B151" s="1" t="n">
        <v>45911.36046296296</v>
      </c>
      <c r="C151" s="1" t="n">
        <v>46092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43396-2025</t>
        </is>
      </c>
      <c r="B152" s="1" t="n">
        <v>45911.37391203704</v>
      </c>
      <c r="C152" s="1" t="n">
        <v>46092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43397-2025</t>
        </is>
      </c>
      <c r="B153" s="1" t="n">
        <v>45911.37444444445</v>
      </c>
      <c r="C153" s="1" t="n">
        <v>46092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46235-2023</t>
        </is>
      </c>
      <c r="B154" s="1" t="n">
        <v>45196</v>
      </c>
      <c r="C154" s="1" t="n">
        <v>46092</v>
      </c>
      <c r="D154" t="inlineStr">
        <is>
          <t>ÖREBRO LÄN</t>
        </is>
      </c>
      <c r="E154" t="inlineStr">
        <is>
          <t>HALLSBERG</t>
        </is>
      </c>
      <c r="F154" t="inlineStr">
        <is>
          <t>Allmännings- och besparingsskogar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25470-2025</t>
        </is>
      </c>
      <c r="B155" s="1" t="n">
        <v>45802.7302199074</v>
      </c>
      <c r="C155" s="1" t="n">
        <v>46092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25472-2025</t>
        </is>
      </c>
      <c r="B156" s="1" t="n">
        <v>45802.74466435185</v>
      </c>
      <c r="C156" s="1" t="n">
        <v>46092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44177-2025</t>
        </is>
      </c>
      <c r="B157" s="1" t="n">
        <v>45915.6069212963</v>
      </c>
      <c r="C157" s="1" t="n">
        <v>46092</v>
      </c>
      <c r="D157" t="inlineStr">
        <is>
          <t>ÖREBRO LÄN</t>
        </is>
      </c>
      <c r="E157" t="inlineStr">
        <is>
          <t>HALLSBERG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17003-2022</t>
        </is>
      </c>
      <c r="B158" s="1" t="n">
        <v>44676</v>
      </c>
      <c r="C158" s="1" t="n">
        <v>46092</v>
      </c>
      <c r="D158" t="inlineStr">
        <is>
          <t>ÖREBRO LÄN</t>
        </is>
      </c>
      <c r="E158" t="inlineStr">
        <is>
          <t>HALLSBERG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12019-2025</t>
        </is>
      </c>
      <c r="B159" s="1" t="n">
        <v>45728.62653935186</v>
      </c>
      <c r="C159" s="1" t="n">
        <v>46092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7492-2024</t>
        </is>
      </c>
      <c r="B160" s="1" t="n">
        <v>45346.78131944445</v>
      </c>
      <c r="C160" s="1" t="n">
        <v>46092</v>
      </c>
      <c r="D160" t="inlineStr">
        <is>
          <t>ÖREBRO LÄN</t>
        </is>
      </c>
      <c r="E160" t="inlineStr">
        <is>
          <t>HALLSBERG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44305-2025</t>
        </is>
      </c>
      <c r="B161" s="1" t="n">
        <v>45916.37457175926</v>
      </c>
      <c r="C161" s="1" t="n">
        <v>46092</v>
      </c>
      <c r="D161" t="inlineStr">
        <is>
          <t>ÖREBRO LÄN</t>
        </is>
      </c>
      <c r="E161" t="inlineStr">
        <is>
          <t>HALLSBERG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56270-2023</t>
        </is>
      </c>
      <c r="B162" s="1" t="n">
        <v>45240</v>
      </c>
      <c r="C162" s="1" t="n">
        <v>46092</v>
      </c>
      <c r="D162" t="inlineStr">
        <is>
          <t>ÖREBRO LÄN</t>
        </is>
      </c>
      <c r="E162" t="inlineStr">
        <is>
          <t>HALLSBERG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53011-2023</t>
        </is>
      </c>
      <c r="B163" s="1" t="n">
        <v>45226.65587962963</v>
      </c>
      <c r="C163" s="1" t="n">
        <v>46092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17017-2023</t>
        </is>
      </c>
      <c r="B164" s="1" t="n">
        <v>45034</v>
      </c>
      <c r="C164" s="1" t="n">
        <v>46092</v>
      </c>
      <c r="D164" t="inlineStr">
        <is>
          <t>ÖREBRO LÄN</t>
        </is>
      </c>
      <c r="E164" t="inlineStr">
        <is>
          <t>HALLSBERG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42156-2024</t>
        </is>
      </c>
      <c r="B165" s="1" t="n">
        <v>45562</v>
      </c>
      <c r="C165" s="1" t="n">
        <v>46092</v>
      </c>
      <c r="D165" t="inlineStr">
        <is>
          <t>ÖREBRO LÄN</t>
        </is>
      </c>
      <c r="E165" t="inlineStr">
        <is>
          <t>HALLSBERG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11358-2025</t>
        </is>
      </c>
      <c r="B166" s="1" t="n">
        <v>45726.5303587963</v>
      </c>
      <c r="C166" s="1" t="n">
        <v>46092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25471-2025</t>
        </is>
      </c>
      <c r="B167" s="1" t="n">
        <v>45802.73936342593</v>
      </c>
      <c r="C167" s="1" t="n">
        <v>46092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7238-2026</t>
        </is>
      </c>
      <c r="B168" s="1" t="n">
        <v>46058.58313657407</v>
      </c>
      <c r="C168" s="1" t="n">
        <v>46092</v>
      </c>
      <c r="D168" t="inlineStr">
        <is>
          <t>ÖREBRO LÄN</t>
        </is>
      </c>
      <c r="E168" t="inlineStr">
        <is>
          <t>HALLSBERG</t>
        </is>
      </c>
      <c r="F168" t="inlineStr">
        <is>
          <t>Övriga Aktiebolag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46160-2025</t>
        </is>
      </c>
      <c r="B169" s="1" t="n">
        <v>45924.63674768519</v>
      </c>
      <c r="C169" s="1" t="n">
        <v>46092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7191-2025</t>
        </is>
      </c>
      <c r="B170" s="1" t="n">
        <v>45702</v>
      </c>
      <c r="C170" s="1" t="n">
        <v>46092</v>
      </c>
      <c r="D170" t="inlineStr">
        <is>
          <t>ÖREBRO LÄN</t>
        </is>
      </c>
      <c r="E170" t="inlineStr">
        <is>
          <t>HALLSBERG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25474-2025</t>
        </is>
      </c>
      <c r="B171" s="1" t="n">
        <v>45802.75615740741</v>
      </c>
      <c r="C171" s="1" t="n">
        <v>46092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8278-2023</t>
        </is>
      </c>
      <c r="B172" s="1" t="n">
        <v>44974.64246527778</v>
      </c>
      <c r="C172" s="1" t="n">
        <v>46092</v>
      </c>
      <c r="D172" t="inlineStr">
        <is>
          <t>ÖREBRO LÄN</t>
        </is>
      </c>
      <c r="E172" t="inlineStr">
        <is>
          <t>HALLSBERG</t>
        </is>
      </c>
      <c r="F172" t="inlineStr">
        <is>
          <t>Kommuner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7991-2026</t>
        </is>
      </c>
      <c r="B173" s="1" t="n">
        <v>46063.49616898148</v>
      </c>
      <c r="C173" s="1" t="n">
        <v>46092</v>
      </c>
      <c r="D173" t="inlineStr">
        <is>
          <t>ÖREBRO LÄN</t>
        </is>
      </c>
      <c r="E173" t="inlineStr">
        <is>
          <t>HALLSBERG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29735-2023</t>
        </is>
      </c>
      <c r="B174" s="1" t="n">
        <v>45098</v>
      </c>
      <c r="C174" s="1" t="n">
        <v>46092</v>
      </c>
      <c r="D174" t="inlineStr">
        <is>
          <t>ÖREBRO LÄN</t>
        </is>
      </c>
      <c r="E174" t="inlineStr">
        <is>
          <t>HALLSBERG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7989-2026</t>
        </is>
      </c>
      <c r="B175" s="1" t="n">
        <v>46063.49473379629</v>
      </c>
      <c r="C175" s="1" t="n">
        <v>46092</v>
      </c>
      <c r="D175" t="inlineStr">
        <is>
          <t>ÖREBRO LÄN</t>
        </is>
      </c>
      <c r="E175" t="inlineStr">
        <is>
          <t>HALLSBERG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7992-2026</t>
        </is>
      </c>
      <c r="B176" s="1" t="n">
        <v>46063.49729166667</v>
      </c>
      <c r="C176" s="1" t="n">
        <v>46092</v>
      </c>
      <c r="D176" t="inlineStr">
        <is>
          <t>ÖREBRO LÄN</t>
        </is>
      </c>
      <c r="E176" t="inlineStr">
        <is>
          <t>HALLSBERG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8892-2026</t>
        </is>
      </c>
      <c r="B177" s="1" t="n">
        <v>46068.44726851852</v>
      </c>
      <c r="C177" s="1" t="n">
        <v>46092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59-2026</t>
        </is>
      </c>
      <c r="B178" s="1" t="n">
        <v>46024</v>
      </c>
      <c r="C178" s="1" t="n">
        <v>46092</v>
      </c>
      <c r="D178" t="inlineStr">
        <is>
          <t>ÖREBRO LÄN</t>
        </is>
      </c>
      <c r="E178" t="inlineStr">
        <is>
          <t>HALLSBERG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8897-2026</t>
        </is>
      </c>
      <c r="B179" s="1" t="n">
        <v>46068.47233796296</v>
      </c>
      <c r="C179" s="1" t="n">
        <v>46092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9663-2023</t>
        </is>
      </c>
      <c r="B180" s="1" t="n">
        <v>44978</v>
      </c>
      <c r="C180" s="1" t="n">
        <v>46092</v>
      </c>
      <c r="D180" t="inlineStr">
        <is>
          <t>ÖREBRO LÄN</t>
        </is>
      </c>
      <c r="E180" t="inlineStr">
        <is>
          <t>HALLSBERG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44811-2023</t>
        </is>
      </c>
      <c r="B181" s="1" t="n">
        <v>45190</v>
      </c>
      <c r="C181" s="1" t="n">
        <v>46092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17016-2023</t>
        </is>
      </c>
      <c r="B182" s="1" t="n">
        <v>45034</v>
      </c>
      <c r="C182" s="1" t="n">
        <v>46092</v>
      </c>
      <c r="D182" t="inlineStr">
        <is>
          <t>ÖREBRO LÄN</t>
        </is>
      </c>
      <c r="E182" t="inlineStr">
        <is>
          <t>HALLSBERG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613-2026</t>
        </is>
      </c>
      <c r="B183" s="1" t="n">
        <v>46029.53724537037</v>
      </c>
      <c r="C183" s="1" t="n">
        <v>46092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620-2026</t>
        </is>
      </c>
      <c r="B184" s="1" t="n">
        <v>46029.54340277778</v>
      </c>
      <c r="C184" s="1" t="n">
        <v>46092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48183-2025</t>
        </is>
      </c>
      <c r="B185" s="1" t="n">
        <v>45933.45418981482</v>
      </c>
      <c r="C185" s="1" t="n">
        <v>46092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26842-2025</t>
        </is>
      </c>
      <c r="B186" s="1" t="n">
        <v>45810.66016203703</v>
      </c>
      <c r="C186" s="1" t="n">
        <v>46092</v>
      </c>
      <c r="D186" t="inlineStr">
        <is>
          <t>ÖREBRO LÄN</t>
        </is>
      </c>
      <c r="E186" t="inlineStr">
        <is>
          <t>HALLSBERG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621-2026</t>
        </is>
      </c>
      <c r="B187" s="1" t="n">
        <v>46029.54597222222</v>
      </c>
      <c r="C187" s="1" t="n">
        <v>46092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27146-2025</t>
        </is>
      </c>
      <c r="B188" s="1" t="n">
        <v>45812.31252314815</v>
      </c>
      <c r="C188" s="1" t="n">
        <v>46092</v>
      </c>
      <c r="D188" t="inlineStr">
        <is>
          <t>ÖREBRO LÄN</t>
        </is>
      </c>
      <c r="E188" t="inlineStr">
        <is>
          <t>HALLSBERG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27147-2025</t>
        </is>
      </c>
      <c r="B189" s="1" t="n">
        <v>45812</v>
      </c>
      <c r="C189" s="1" t="n">
        <v>46092</v>
      </c>
      <c r="D189" t="inlineStr">
        <is>
          <t>ÖREBRO LÄN</t>
        </is>
      </c>
      <c r="E189" t="inlineStr">
        <is>
          <t>HALLSBERG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18891-2024</t>
        </is>
      </c>
      <c r="B190" s="1" t="n">
        <v>45427.32009259259</v>
      </c>
      <c r="C190" s="1" t="n">
        <v>46092</v>
      </c>
      <c r="D190" t="inlineStr">
        <is>
          <t>ÖREBRO LÄN</t>
        </is>
      </c>
      <c r="E190" t="inlineStr">
        <is>
          <t>HALLSBERG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27148-2025</t>
        </is>
      </c>
      <c r="B191" s="1" t="n">
        <v>45812</v>
      </c>
      <c r="C191" s="1" t="n">
        <v>46092</v>
      </c>
      <c r="D191" t="inlineStr">
        <is>
          <t>ÖREBRO LÄN</t>
        </is>
      </c>
      <c r="E191" t="inlineStr">
        <is>
          <t>HALLSBERG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27915-2025</t>
        </is>
      </c>
      <c r="B192" s="1" t="n">
        <v>45817.48034722222</v>
      </c>
      <c r="C192" s="1" t="n">
        <v>46092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47915-2025</t>
        </is>
      </c>
      <c r="B193" s="1" t="n">
        <v>45932.51552083333</v>
      </c>
      <c r="C193" s="1" t="n">
        <v>46092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47901-2025</t>
        </is>
      </c>
      <c r="B194" s="1" t="n">
        <v>45932.49747685185</v>
      </c>
      <c r="C194" s="1" t="n">
        <v>46092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47906-2025</t>
        </is>
      </c>
      <c r="B195" s="1" t="n">
        <v>45932.50626157408</v>
      </c>
      <c r="C195" s="1" t="n">
        <v>46092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47913-2025</t>
        </is>
      </c>
      <c r="B196" s="1" t="n">
        <v>45932.51337962963</v>
      </c>
      <c r="C196" s="1" t="n">
        <v>46092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47920-2025</t>
        </is>
      </c>
      <c r="B197" s="1" t="n">
        <v>45932.53057870371</v>
      </c>
      <c r="C197" s="1" t="n">
        <v>46092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47921-2025</t>
        </is>
      </c>
      <c r="B198" s="1" t="n">
        <v>45932.53211805555</v>
      </c>
      <c r="C198" s="1" t="n">
        <v>46092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10863-2022</t>
        </is>
      </c>
      <c r="B199" s="1" t="n">
        <v>44627.6367824074</v>
      </c>
      <c r="C199" s="1" t="n">
        <v>46092</v>
      </c>
      <c r="D199" t="inlineStr">
        <is>
          <t>ÖREBRO LÄN</t>
        </is>
      </c>
      <c r="E199" t="inlineStr">
        <is>
          <t>HALLSBERG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1247-2026</t>
        </is>
      </c>
      <c r="B200" s="1" t="n">
        <v>46031.4290625</v>
      </c>
      <c r="C200" s="1" t="n">
        <v>46092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1254-2026</t>
        </is>
      </c>
      <c r="B201" s="1" t="n">
        <v>46031.43969907407</v>
      </c>
      <c r="C201" s="1" t="n">
        <v>46092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1259-2026</t>
        </is>
      </c>
      <c r="B202" s="1" t="n">
        <v>46031.45591435185</v>
      </c>
      <c r="C202" s="1" t="n">
        <v>46092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38344-2024</t>
        </is>
      </c>
      <c r="B203" s="1" t="n">
        <v>45545</v>
      </c>
      <c r="C203" s="1" t="n">
        <v>46092</v>
      </c>
      <c r="D203" t="inlineStr">
        <is>
          <t>ÖREBRO LÄN</t>
        </is>
      </c>
      <c r="E203" t="inlineStr">
        <is>
          <t>HALLSBERG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29165-2025</t>
        </is>
      </c>
      <c r="B204" s="1" t="n">
        <v>45821.68605324074</v>
      </c>
      <c r="C204" s="1" t="n">
        <v>46092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29157-2025</t>
        </is>
      </c>
      <c r="B205" s="1" t="n">
        <v>45821.65877314815</v>
      </c>
      <c r="C205" s="1" t="n">
        <v>46092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29161-2025</t>
        </is>
      </c>
      <c r="B206" s="1" t="n">
        <v>45821.66652777778</v>
      </c>
      <c r="C206" s="1" t="n">
        <v>46092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29164-2025</t>
        </is>
      </c>
      <c r="B207" s="1" t="n">
        <v>45821.68314814815</v>
      </c>
      <c r="C207" s="1" t="n">
        <v>46092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49584-2025</t>
        </is>
      </c>
      <c r="B208" s="1" t="n">
        <v>45939.50087962963</v>
      </c>
      <c r="C208" s="1" t="n">
        <v>46092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40968-2023</t>
        </is>
      </c>
      <c r="B209" s="1" t="n">
        <v>45173.48231481481</v>
      </c>
      <c r="C209" s="1" t="n">
        <v>46092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27659-2025</t>
        </is>
      </c>
      <c r="B210" s="1" t="n">
        <v>45813</v>
      </c>
      <c r="C210" s="1" t="n">
        <v>46092</v>
      </c>
      <c r="D210" t="inlineStr">
        <is>
          <t>ÖREBRO LÄN</t>
        </is>
      </c>
      <c r="E210" t="inlineStr">
        <is>
          <t>HALLSBERG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49582-2025</t>
        </is>
      </c>
      <c r="B211" s="1" t="n">
        <v>45939.49789351852</v>
      </c>
      <c r="C211" s="1" t="n">
        <v>46092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69607-2021</t>
        </is>
      </c>
      <c r="B212" s="1" t="n">
        <v>44532.38833333334</v>
      </c>
      <c r="C212" s="1" t="n">
        <v>46092</v>
      </c>
      <c r="D212" t="inlineStr">
        <is>
          <t>ÖREBRO LÄN</t>
        </is>
      </c>
      <c r="E212" t="inlineStr">
        <is>
          <t>HALLSBERG</t>
        </is>
      </c>
      <c r="F212" t="inlineStr">
        <is>
          <t>Kommuner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49091-2025</t>
        </is>
      </c>
      <c r="B213" s="1" t="n">
        <v>45937.6756712963</v>
      </c>
      <c r="C213" s="1" t="n">
        <v>46092</v>
      </c>
      <c r="D213" t="inlineStr">
        <is>
          <t>ÖREBRO LÄN</t>
        </is>
      </c>
      <c r="E213" t="inlineStr">
        <is>
          <t>HALLSBERG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14288-2023</t>
        </is>
      </c>
      <c r="B214" s="1" t="n">
        <v>45010</v>
      </c>
      <c r="C214" s="1" t="n">
        <v>46092</v>
      </c>
      <c r="D214" t="inlineStr">
        <is>
          <t>ÖREBRO LÄN</t>
        </is>
      </c>
      <c r="E214" t="inlineStr">
        <is>
          <t>HALLSBERG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24801-2023</t>
        </is>
      </c>
      <c r="B215" s="1" t="n">
        <v>45084</v>
      </c>
      <c r="C215" s="1" t="n">
        <v>46092</v>
      </c>
      <c r="D215" t="inlineStr">
        <is>
          <t>ÖREBRO LÄN</t>
        </is>
      </c>
      <c r="E215" t="inlineStr">
        <is>
          <t>HALLSBERG</t>
        </is>
      </c>
      <c r="F215" t="inlineStr">
        <is>
          <t>Allmännings- och besparingsskogar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5604-2023</t>
        </is>
      </c>
      <c r="B216" s="1" t="n">
        <v>44960.55600694445</v>
      </c>
      <c r="C216" s="1" t="n">
        <v>46092</v>
      </c>
      <c r="D216" t="inlineStr">
        <is>
          <t>ÖREBRO LÄN</t>
        </is>
      </c>
      <c r="E216" t="inlineStr">
        <is>
          <t>HALLSBERG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5608-2023</t>
        </is>
      </c>
      <c r="B217" s="1" t="n">
        <v>44960.56233796296</v>
      </c>
      <c r="C217" s="1" t="n">
        <v>46092</v>
      </c>
      <c r="D217" t="inlineStr">
        <is>
          <t>ÖREBRO LÄN</t>
        </is>
      </c>
      <c r="E217" t="inlineStr">
        <is>
          <t>HALLSBERG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14456-2023</t>
        </is>
      </c>
      <c r="B218" s="1" t="n">
        <v>45012.62157407407</v>
      </c>
      <c r="C218" s="1" t="n">
        <v>46092</v>
      </c>
      <c r="D218" t="inlineStr">
        <is>
          <t>ÖREBRO LÄN</t>
        </is>
      </c>
      <c r="E218" t="inlineStr">
        <is>
          <t>HALLSBERG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11003-2025</t>
        </is>
      </c>
      <c r="B219" s="1" t="n">
        <v>45723.44292824074</v>
      </c>
      <c r="C219" s="1" t="n">
        <v>46092</v>
      </c>
      <c r="D219" t="inlineStr">
        <is>
          <t>ÖREBRO LÄN</t>
        </is>
      </c>
      <c r="E219" t="inlineStr">
        <is>
          <t>HALLSBERG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31290-2023</t>
        </is>
      </c>
      <c r="B220" s="1" t="n">
        <v>45114</v>
      </c>
      <c r="C220" s="1" t="n">
        <v>46092</v>
      </c>
      <c r="D220" t="inlineStr">
        <is>
          <t>ÖREBRO LÄN</t>
        </is>
      </c>
      <c r="E220" t="inlineStr">
        <is>
          <t>HALLSBERG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11034-2025</t>
        </is>
      </c>
      <c r="B221" s="1" t="n">
        <v>45723.47810185186</v>
      </c>
      <c r="C221" s="1" t="n">
        <v>46092</v>
      </c>
      <c r="D221" t="inlineStr">
        <is>
          <t>ÖREBRO LÄN</t>
        </is>
      </c>
      <c r="E221" t="inlineStr">
        <is>
          <t>HALLSBERG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50980-2025</t>
        </is>
      </c>
      <c r="B222" s="1" t="n">
        <v>45947.33725694445</v>
      </c>
      <c r="C222" s="1" t="n">
        <v>46092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9645-2024</t>
        </is>
      </c>
      <c r="B223" s="1" t="n">
        <v>45362</v>
      </c>
      <c r="C223" s="1" t="n">
        <v>46092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1793-2026</t>
        </is>
      </c>
      <c r="B224" s="1" t="n">
        <v>46034</v>
      </c>
      <c r="C224" s="1" t="n">
        <v>46092</v>
      </c>
      <c r="D224" t="inlineStr">
        <is>
          <t>ÖREBRO LÄN</t>
        </is>
      </c>
      <c r="E224" t="inlineStr">
        <is>
          <t>HALLSBERG</t>
        </is>
      </c>
      <c r="G224" t="n">
        <v>23.5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36880-2022</t>
        </is>
      </c>
      <c r="B225" s="1" t="n">
        <v>44805.65100694444</v>
      </c>
      <c r="C225" s="1" t="n">
        <v>46092</v>
      </c>
      <c r="D225" t="inlineStr">
        <is>
          <t>ÖREBRO LÄN</t>
        </is>
      </c>
      <c r="E225" t="inlineStr">
        <is>
          <t>HALLSBERG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8347-2024</t>
        </is>
      </c>
      <c r="B226" s="1" t="n">
        <v>45352.55664351852</v>
      </c>
      <c r="C226" s="1" t="n">
        <v>46092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51642-2025</t>
        </is>
      </c>
      <c r="B227" s="1" t="n">
        <v>45951.44524305555</v>
      </c>
      <c r="C227" s="1" t="n">
        <v>46092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8869-2022</t>
        </is>
      </c>
      <c r="B228" s="1" t="n">
        <v>44614</v>
      </c>
      <c r="C228" s="1" t="n">
        <v>46092</v>
      </c>
      <c r="D228" t="inlineStr">
        <is>
          <t>ÖREBRO LÄN</t>
        </is>
      </c>
      <c r="E228" t="inlineStr">
        <is>
          <t>HALLSBERG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3235-2026</t>
        </is>
      </c>
      <c r="B229" s="1" t="n">
        <v>46041.56409722222</v>
      </c>
      <c r="C229" s="1" t="n">
        <v>46092</v>
      </c>
      <c r="D229" t="inlineStr">
        <is>
          <t>ÖREBRO LÄN</t>
        </is>
      </c>
      <c r="E229" t="inlineStr">
        <is>
          <t>HALLSBERG</t>
        </is>
      </c>
      <c r="F229" t="inlineStr">
        <is>
          <t>Kyrkan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3257-2026</t>
        </is>
      </c>
      <c r="B230" s="1" t="n">
        <v>46041.59184027778</v>
      </c>
      <c r="C230" s="1" t="n">
        <v>46092</v>
      </c>
      <c r="D230" t="inlineStr">
        <is>
          <t>ÖREBRO LÄN</t>
        </is>
      </c>
      <c r="E230" t="inlineStr">
        <is>
          <t>HALLSBERG</t>
        </is>
      </c>
      <c r="F230" t="inlineStr">
        <is>
          <t>Kyrkan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3236-2026</t>
        </is>
      </c>
      <c r="B231" s="1" t="n">
        <v>46041.56473379629</v>
      </c>
      <c r="C231" s="1" t="n">
        <v>46092</v>
      </c>
      <c r="D231" t="inlineStr">
        <is>
          <t>ÖREBRO LÄN</t>
        </is>
      </c>
      <c r="E231" t="inlineStr">
        <is>
          <t>HALLSBERG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32606-2025</t>
        </is>
      </c>
      <c r="B232" s="1" t="n">
        <v>45838.63046296296</v>
      </c>
      <c r="C232" s="1" t="n">
        <v>46092</v>
      </c>
      <c r="D232" t="inlineStr">
        <is>
          <t>ÖREBRO LÄN</t>
        </is>
      </c>
      <c r="E232" t="inlineStr">
        <is>
          <t>HALLSBERG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32642-2025</t>
        </is>
      </c>
      <c r="B233" s="1" t="n">
        <v>45838.66005787037</v>
      </c>
      <c r="C233" s="1" t="n">
        <v>46092</v>
      </c>
      <c r="D233" t="inlineStr">
        <is>
          <t>ÖREBRO LÄN</t>
        </is>
      </c>
      <c r="E233" t="inlineStr">
        <is>
          <t>HALLSBERG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51916-2025</t>
        </is>
      </c>
      <c r="B234" s="1" t="n">
        <v>45952.47767361111</v>
      </c>
      <c r="C234" s="1" t="n">
        <v>46092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51920-2025</t>
        </is>
      </c>
      <c r="B235" s="1" t="n">
        <v>45952.48380787037</v>
      </c>
      <c r="C235" s="1" t="n">
        <v>46092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51924-2025</t>
        </is>
      </c>
      <c r="B236" s="1" t="n">
        <v>45952.49305555555</v>
      </c>
      <c r="C236" s="1" t="n">
        <v>46092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51942-2025</t>
        </is>
      </c>
      <c r="B237" s="1" t="n">
        <v>45952.52392361111</v>
      </c>
      <c r="C237" s="1" t="n">
        <v>46092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3259-2026</t>
        </is>
      </c>
      <c r="B238" s="1" t="n">
        <v>46041.59275462963</v>
      </c>
      <c r="C238" s="1" t="n">
        <v>46092</v>
      </c>
      <c r="D238" t="inlineStr">
        <is>
          <t>ÖREBRO LÄN</t>
        </is>
      </c>
      <c r="E238" t="inlineStr">
        <is>
          <t>HALLSBERG</t>
        </is>
      </c>
      <c r="F238" t="inlineStr">
        <is>
          <t>Kyrkan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3037-2026</t>
        </is>
      </c>
      <c r="B239" s="1" t="n">
        <v>46038.72572916667</v>
      </c>
      <c r="C239" s="1" t="n">
        <v>46092</v>
      </c>
      <c r="D239" t="inlineStr">
        <is>
          <t>ÖREBRO LÄN</t>
        </is>
      </c>
      <c r="E239" t="inlineStr">
        <is>
          <t>HALLSBERG</t>
        </is>
      </c>
      <c r="F239" t="inlineStr">
        <is>
          <t>Övriga Aktiebolag</t>
        </is>
      </c>
      <c r="G239" t="n">
        <v>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51938-2025</t>
        </is>
      </c>
      <c r="B240" s="1" t="n">
        <v>45952.51895833333</v>
      </c>
      <c r="C240" s="1" t="n">
        <v>46092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51940-2025</t>
        </is>
      </c>
      <c r="B241" s="1" t="n">
        <v>45952.52118055556</v>
      </c>
      <c r="C241" s="1" t="n">
        <v>46092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52959-2025</t>
        </is>
      </c>
      <c r="B242" s="1" t="n">
        <v>45956</v>
      </c>
      <c r="C242" s="1" t="n">
        <v>46092</v>
      </c>
      <c r="D242" t="inlineStr">
        <is>
          <t>ÖREBRO LÄN</t>
        </is>
      </c>
      <c r="E242" t="inlineStr">
        <is>
          <t>HALLSBERG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9073-2023</t>
        </is>
      </c>
      <c r="B243" s="1" t="n">
        <v>44979.84893518518</v>
      </c>
      <c r="C243" s="1" t="n">
        <v>46092</v>
      </c>
      <c r="D243" t="inlineStr">
        <is>
          <t>ÖREBRO LÄN</t>
        </is>
      </c>
      <c r="E243" t="inlineStr">
        <is>
          <t>HALLSBERG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37723-2023</t>
        </is>
      </c>
      <c r="B244" s="1" t="n">
        <v>45159</v>
      </c>
      <c r="C244" s="1" t="n">
        <v>46092</v>
      </c>
      <c r="D244" t="inlineStr">
        <is>
          <t>ÖREBRO LÄN</t>
        </is>
      </c>
      <c r="E244" t="inlineStr">
        <is>
          <t>HALLSBERG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33729-2025</t>
        </is>
      </c>
      <c r="B245" s="1" t="n">
        <v>45842.29508101852</v>
      </c>
      <c r="C245" s="1" t="n">
        <v>46092</v>
      </c>
      <c r="D245" t="inlineStr">
        <is>
          <t>ÖREBRO LÄN</t>
        </is>
      </c>
      <c r="E245" t="inlineStr">
        <is>
          <t>HALLSBERG</t>
        </is>
      </c>
      <c r="F245" t="inlineStr">
        <is>
          <t>Allmännings- och besparingsskogar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37451-2023</t>
        </is>
      </c>
      <c r="B246" s="1" t="n">
        <v>45156.70214120371</v>
      </c>
      <c r="C246" s="1" t="n">
        <v>46092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9414-2022</t>
        </is>
      </c>
      <c r="B247" s="1" t="n">
        <v>44616.67115740741</v>
      </c>
      <c r="C247" s="1" t="n">
        <v>46092</v>
      </c>
      <c r="D247" t="inlineStr">
        <is>
          <t>ÖREBRO LÄN</t>
        </is>
      </c>
      <c r="E247" t="inlineStr">
        <is>
          <t>HALLSBERG</t>
        </is>
      </c>
      <c r="F247" t="inlineStr">
        <is>
          <t>Allmännings- och besparingsskogar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3896-2026</t>
        </is>
      </c>
      <c r="B248" s="1" t="n">
        <v>46043.68329861111</v>
      </c>
      <c r="C248" s="1" t="n">
        <v>46092</v>
      </c>
      <c r="D248" t="inlineStr">
        <is>
          <t>ÖREBRO LÄN</t>
        </is>
      </c>
      <c r="E248" t="inlineStr">
        <is>
          <t>HALLSBERG</t>
        </is>
      </c>
      <c r="F248" t="inlineStr">
        <is>
          <t>Övriga Aktiebolag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3897-2026</t>
        </is>
      </c>
      <c r="B249" s="1" t="n">
        <v>46043.68909722222</v>
      </c>
      <c r="C249" s="1" t="n">
        <v>46092</v>
      </c>
      <c r="D249" t="inlineStr">
        <is>
          <t>ÖREBRO LÄN</t>
        </is>
      </c>
      <c r="E249" t="inlineStr">
        <is>
          <t>HALLSBERG</t>
        </is>
      </c>
      <c r="F249" t="inlineStr">
        <is>
          <t>Övriga Aktiebolag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15523-2024</t>
        </is>
      </c>
      <c r="B250" s="1" t="n">
        <v>45401.58033564815</v>
      </c>
      <c r="C250" s="1" t="n">
        <v>46092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28535-2024</t>
        </is>
      </c>
      <c r="B251" s="1" t="n">
        <v>45478.34103009259</v>
      </c>
      <c r="C251" s="1" t="n">
        <v>46092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54058-2025</t>
        </is>
      </c>
      <c r="B252" s="1" t="n">
        <v>45964.32967592592</v>
      </c>
      <c r="C252" s="1" t="n">
        <v>46092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54062-2025</t>
        </is>
      </c>
      <c r="B253" s="1" t="n">
        <v>45964.33197916667</v>
      </c>
      <c r="C253" s="1" t="n">
        <v>46092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54060-2025</t>
        </is>
      </c>
      <c r="B254" s="1" t="n">
        <v>45964.33086805556</v>
      </c>
      <c r="C254" s="1" t="n">
        <v>46092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38010-2023</t>
        </is>
      </c>
      <c r="B255" s="1" t="n">
        <v>45160</v>
      </c>
      <c r="C255" s="1" t="n">
        <v>46092</v>
      </c>
      <c r="D255" t="inlineStr">
        <is>
          <t>ÖREBRO LÄN</t>
        </is>
      </c>
      <c r="E255" t="inlineStr">
        <is>
          <t>HALLSBERG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41345-2023</t>
        </is>
      </c>
      <c r="B256" s="1" t="n">
        <v>45174</v>
      </c>
      <c r="C256" s="1" t="n">
        <v>46092</v>
      </c>
      <c r="D256" t="inlineStr">
        <is>
          <t>ÖREBRO LÄN</t>
        </is>
      </c>
      <c r="E256" t="inlineStr">
        <is>
          <t>HALLSBERG</t>
        </is>
      </c>
      <c r="F256" t="inlineStr">
        <is>
          <t>Allmännings- och besparingsskogar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60082-2023</t>
        </is>
      </c>
      <c r="B257" s="1" t="n">
        <v>45258</v>
      </c>
      <c r="C257" s="1" t="n">
        <v>46092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12783-2026</t>
        </is>
      </c>
      <c r="B258" s="1" t="n">
        <v>46091.77605324074</v>
      </c>
      <c r="C258" s="1" t="n">
        <v>46092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55344-2025</t>
        </is>
      </c>
      <c r="B259" s="1" t="n">
        <v>45971.34900462963</v>
      </c>
      <c r="C259" s="1" t="n">
        <v>46092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12785-2026</t>
        </is>
      </c>
      <c r="B260" s="1" t="n">
        <v>46091.78928240741</v>
      </c>
      <c r="C260" s="1" t="n">
        <v>46092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17700-2025</t>
        </is>
      </c>
      <c r="B261" s="1" t="n">
        <v>45758</v>
      </c>
      <c r="C261" s="1" t="n">
        <v>46092</v>
      </c>
      <c r="D261" t="inlineStr">
        <is>
          <t>ÖREBRO LÄN</t>
        </is>
      </c>
      <c r="E261" t="inlineStr">
        <is>
          <t>HALLSBERG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56272-2023</t>
        </is>
      </c>
      <c r="B262" s="1" t="n">
        <v>45241</v>
      </c>
      <c r="C262" s="1" t="n">
        <v>46092</v>
      </c>
      <c r="D262" t="inlineStr">
        <is>
          <t>ÖREBRO LÄN</t>
        </is>
      </c>
      <c r="E262" t="inlineStr">
        <is>
          <t>HALLSBERG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2910-2025</t>
        </is>
      </c>
      <c r="B263" s="1" t="n">
        <v>45677</v>
      </c>
      <c r="C263" s="1" t="n">
        <v>46092</v>
      </c>
      <c r="D263" t="inlineStr">
        <is>
          <t>ÖREBRO LÄN</t>
        </is>
      </c>
      <c r="E263" t="inlineStr">
        <is>
          <t>HALLSBERG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12784-2026</t>
        </is>
      </c>
      <c r="B264" s="1" t="n">
        <v>46091.78168981482</v>
      </c>
      <c r="C264" s="1" t="n">
        <v>46092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45300-2024</t>
        </is>
      </c>
      <c r="B265" s="1" t="n">
        <v>45576.40886574074</v>
      </c>
      <c r="C265" s="1" t="n">
        <v>46092</v>
      </c>
      <c r="D265" t="inlineStr">
        <is>
          <t>ÖREBRO LÄN</t>
        </is>
      </c>
      <c r="E265" t="inlineStr">
        <is>
          <t>HALLSBERG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36292-2025</t>
        </is>
      </c>
      <c r="B266" s="1" t="n">
        <v>45867</v>
      </c>
      <c r="C266" s="1" t="n">
        <v>46092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63912-2025</t>
        </is>
      </c>
      <c r="B267" s="1" t="n">
        <v>46020</v>
      </c>
      <c r="C267" s="1" t="n">
        <v>46092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12008-2025</t>
        </is>
      </c>
      <c r="B268" s="1" t="n">
        <v>45728.61679398148</v>
      </c>
      <c r="C268" s="1" t="n">
        <v>46092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36291-2025</t>
        </is>
      </c>
      <c r="B269" s="1" t="n">
        <v>45867</v>
      </c>
      <c r="C269" s="1" t="n">
        <v>46092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58574-2024</t>
        </is>
      </c>
      <c r="B270" s="1" t="n">
        <v>45635</v>
      </c>
      <c r="C270" s="1" t="n">
        <v>46092</v>
      </c>
      <c r="D270" t="inlineStr">
        <is>
          <t>ÖREBRO LÄN</t>
        </is>
      </c>
      <c r="E270" t="inlineStr">
        <is>
          <t>HALLSBERG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36294-2025</t>
        </is>
      </c>
      <c r="B271" s="1" t="n">
        <v>45867.67050925926</v>
      </c>
      <c r="C271" s="1" t="n">
        <v>46092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9814-2025</t>
        </is>
      </c>
      <c r="B272" s="1" t="n">
        <v>45715</v>
      </c>
      <c r="C272" s="1" t="n">
        <v>46092</v>
      </c>
      <c r="D272" t="inlineStr">
        <is>
          <t>ÖREBRO LÄN</t>
        </is>
      </c>
      <c r="E272" t="inlineStr">
        <is>
          <t>HALLSBERG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12018-2025</t>
        </is>
      </c>
      <c r="B273" s="1" t="n">
        <v>45728.6249537037</v>
      </c>
      <c r="C273" s="1" t="n">
        <v>46092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12471-2022</t>
        </is>
      </c>
      <c r="B274" s="1" t="n">
        <v>44638</v>
      </c>
      <c r="C274" s="1" t="n">
        <v>46092</v>
      </c>
      <c r="D274" t="inlineStr">
        <is>
          <t>ÖREBRO LÄN</t>
        </is>
      </c>
      <c r="E274" t="inlineStr">
        <is>
          <t>HALLSBERG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31480-2021</t>
        </is>
      </c>
      <c r="B275" s="1" t="n">
        <v>44369</v>
      </c>
      <c r="C275" s="1" t="n">
        <v>46092</v>
      </c>
      <c r="D275" t="inlineStr">
        <is>
          <t>ÖREBRO LÄN</t>
        </is>
      </c>
      <c r="E275" t="inlineStr">
        <is>
          <t>HALLSBERG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36789-2025</t>
        </is>
      </c>
      <c r="B276" s="1" t="n">
        <v>45873.63458333333</v>
      </c>
      <c r="C276" s="1" t="n">
        <v>46092</v>
      </c>
      <c r="D276" t="inlineStr">
        <is>
          <t>ÖREBRO LÄN</t>
        </is>
      </c>
      <c r="E276" t="inlineStr">
        <is>
          <t>HALLSBERG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36619-2025</t>
        </is>
      </c>
      <c r="B277" s="1" t="n">
        <v>45870.63782407407</v>
      </c>
      <c r="C277" s="1" t="n">
        <v>46092</v>
      </c>
      <c r="D277" t="inlineStr">
        <is>
          <t>ÖREBRO LÄN</t>
        </is>
      </c>
      <c r="E277" t="inlineStr">
        <is>
          <t>HALLSBERG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55851-2023</t>
        </is>
      </c>
      <c r="B278" s="1" t="n">
        <v>45239.65712962963</v>
      </c>
      <c r="C278" s="1" t="n">
        <v>46092</v>
      </c>
      <c r="D278" t="inlineStr">
        <is>
          <t>ÖREBRO LÄN</t>
        </is>
      </c>
      <c r="E278" t="inlineStr">
        <is>
          <t>HALLSBERG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34527-2024</t>
        </is>
      </c>
      <c r="B279" s="1" t="n">
        <v>45525</v>
      </c>
      <c r="C279" s="1" t="n">
        <v>46092</v>
      </c>
      <c r="D279" t="inlineStr">
        <is>
          <t>ÖREBRO LÄN</t>
        </is>
      </c>
      <c r="E279" t="inlineStr">
        <is>
          <t>HALLSBERG</t>
        </is>
      </c>
      <c r="F279" t="inlineStr">
        <is>
          <t>Allmännings- och besparingsskogar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37054-2025</t>
        </is>
      </c>
      <c r="B280" s="1" t="n">
        <v>45875.36756944445</v>
      </c>
      <c r="C280" s="1" t="n">
        <v>46092</v>
      </c>
      <c r="D280" t="inlineStr">
        <is>
          <t>ÖREBRO LÄN</t>
        </is>
      </c>
      <c r="E280" t="inlineStr">
        <is>
          <t>HALLSBERG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36824-2025</t>
        </is>
      </c>
      <c r="B281" s="1" t="n">
        <v>45874.29803240741</v>
      </c>
      <c r="C281" s="1" t="n">
        <v>46092</v>
      </c>
      <c r="D281" t="inlineStr">
        <is>
          <t>ÖREBRO LÄN</t>
        </is>
      </c>
      <c r="E281" t="inlineStr">
        <is>
          <t>HALLSBERG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31747-2022</t>
        </is>
      </c>
      <c r="B282" s="1" t="n">
        <v>44776</v>
      </c>
      <c r="C282" s="1" t="n">
        <v>46092</v>
      </c>
      <c r="D282" t="inlineStr">
        <is>
          <t>ÖREBRO LÄN</t>
        </is>
      </c>
      <c r="E282" t="inlineStr">
        <is>
          <t>HALLSBERG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37048-2025</t>
        </is>
      </c>
      <c r="B283" s="1" t="n">
        <v>45875.35450231482</v>
      </c>
      <c r="C283" s="1" t="n">
        <v>46092</v>
      </c>
      <c r="D283" t="inlineStr">
        <is>
          <t>ÖREBRO LÄN</t>
        </is>
      </c>
      <c r="E283" t="inlineStr">
        <is>
          <t>HALLSBERG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37059-2025</t>
        </is>
      </c>
      <c r="B284" s="1" t="n">
        <v>45875.37520833333</v>
      </c>
      <c r="C284" s="1" t="n">
        <v>46092</v>
      </c>
      <c r="D284" t="inlineStr">
        <is>
          <t>ÖREBRO LÄN</t>
        </is>
      </c>
      <c r="E284" t="inlineStr">
        <is>
          <t>HALLSBERG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37049-2025</t>
        </is>
      </c>
      <c r="B285" s="1" t="n">
        <v>45875.36108796296</v>
      </c>
      <c r="C285" s="1" t="n">
        <v>46092</v>
      </c>
      <c r="D285" t="inlineStr">
        <is>
          <t>ÖREBRO LÄN</t>
        </is>
      </c>
      <c r="E285" t="inlineStr">
        <is>
          <t>HALLSBERG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37323-2025</t>
        </is>
      </c>
      <c r="B286" s="1" t="n">
        <v>45876.62699074074</v>
      </c>
      <c r="C286" s="1" t="n">
        <v>46092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37228-2025</t>
        </is>
      </c>
      <c r="B287" s="1" t="n">
        <v>45876.3007175926</v>
      </c>
      <c r="C287" s="1" t="n">
        <v>46092</v>
      </c>
      <c r="D287" t="inlineStr">
        <is>
          <t>ÖREBRO LÄN</t>
        </is>
      </c>
      <c r="E287" t="inlineStr">
        <is>
          <t>HALLSBERG</t>
        </is>
      </c>
      <c r="G287" t="n">
        <v>16.2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31994-2022</t>
        </is>
      </c>
      <c r="B288" s="1" t="n">
        <v>44778.31512731482</v>
      </c>
      <c r="C288" s="1" t="n">
        <v>46092</v>
      </c>
      <c r="D288" t="inlineStr">
        <is>
          <t>ÖREBRO LÄN</t>
        </is>
      </c>
      <c r="E288" t="inlineStr">
        <is>
          <t>HALLSBERG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37321-2025</t>
        </is>
      </c>
      <c r="B289" s="1" t="n">
        <v>45876.62380787037</v>
      </c>
      <c r="C289" s="1" t="n">
        <v>46092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37229-2025</t>
        </is>
      </c>
      <c r="B290" s="1" t="n">
        <v>45876.30645833333</v>
      </c>
      <c r="C290" s="1" t="n">
        <v>46092</v>
      </c>
      <c r="D290" t="inlineStr">
        <is>
          <t>ÖREBRO LÄN</t>
        </is>
      </c>
      <c r="E290" t="inlineStr">
        <is>
          <t>HALLSBERG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37591-2025</t>
        </is>
      </c>
      <c r="B291" s="1" t="n">
        <v>45880.41182870371</v>
      </c>
      <c r="C291" s="1" t="n">
        <v>46092</v>
      </c>
      <c r="D291" t="inlineStr">
        <is>
          <t>ÖREBRO LÄN</t>
        </is>
      </c>
      <c r="E291" t="inlineStr">
        <is>
          <t>HALLSBERG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37717-2025</t>
        </is>
      </c>
      <c r="B292" s="1" t="n">
        <v>45880.61226851852</v>
      </c>
      <c r="C292" s="1" t="n">
        <v>46092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37718-2025</t>
        </is>
      </c>
      <c r="B293" s="1" t="n">
        <v>45880.61376157407</v>
      </c>
      <c r="C293" s="1" t="n">
        <v>46092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37727-2025</t>
        </is>
      </c>
      <c r="B294" s="1" t="n">
        <v>45880.62028935185</v>
      </c>
      <c r="C294" s="1" t="n">
        <v>46092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37714-2025</t>
        </is>
      </c>
      <c r="B295" s="1" t="n">
        <v>45880.60302083333</v>
      </c>
      <c r="C295" s="1" t="n">
        <v>46092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37601-2025</t>
        </is>
      </c>
      <c r="B296" s="1" t="n">
        <v>45880.42255787037</v>
      </c>
      <c r="C296" s="1" t="n">
        <v>46092</v>
      </c>
      <c r="D296" t="inlineStr">
        <is>
          <t>ÖREBRO LÄN</t>
        </is>
      </c>
      <c r="E296" t="inlineStr">
        <is>
          <t>HALLSBERG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40887-2023</t>
        </is>
      </c>
      <c r="B297" s="1" t="n">
        <v>45173</v>
      </c>
      <c r="C297" s="1" t="n">
        <v>46092</v>
      </c>
      <c r="D297" t="inlineStr">
        <is>
          <t>ÖREBRO LÄN</t>
        </is>
      </c>
      <c r="E297" t="inlineStr">
        <is>
          <t>HALLSBERG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43679-2022</t>
        </is>
      </c>
      <c r="B298" s="1" t="n">
        <v>44837</v>
      </c>
      <c r="C298" s="1" t="n">
        <v>46092</v>
      </c>
      <c r="D298" t="inlineStr">
        <is>
          <t>ÖREBRO LÄN</t>
        </is>
      </c>
      <c r="E298" t="inlineStr">
        <is>
          <t>HALLSBERG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12133-2023</t>
        </is>
      </c>
      <c r="B299" s="1" t="n">
        <v>44998</v>
      </c>
      <c r="C299" s="1" t="n">
        <v>46092</v>
      </c>
      <c r="D299" t="inlineStr">
        <is>
          <t>ÖREBRO LÄN</t>
        </is>
      </c>
      <c r="E299" t="inlineStr">
        <is>
          <t>HALLSBERG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40607-2021</t>
        </is>
      </c>
      <c r="B300" s="1" t="n">
        <v>44420</v>
      </c>
      <c r="C300" s="1" t="n">
        <v>46092</v>
      </c>
      <c r="D300" t="inlineStr">
        <is>
          <t>ÖREBRO LÄN</t>
        </is>
      </c>
      <c r="E300" t="inlineStr">
        <is>
          <t>HALLSBERG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38010-2025</t>
        </is>
      </c>
      <c r="B301" s="1" t="n">
        <v>45882.3046412037</v>
      </c>
      <c r="C301" s="1" t="n">
        <v>46092</v>
      </c>
      <c r="D301" t="inlineStr">
        <is>
          <t>ÖREBRO LÄN</t>
        </is>
      </c>
      <c r="E301" t="inlineStr">
        <is>
          <t>HALLSBERG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38179-2025</t>
        </is>
      </c>
      <c r="B302" s="1" t="n">
        <v>45882.64409722222</v>
      </c>
      <c r="C302" s="1" t="n">
        <v>46092</v>
      </c>
      <c r="D302" t="inlineStr">
        <is>
          <t>ÖREBRO LÄN</t>
        </is>
      </c>
      <c r="E302" t="inlineStr">
        <is>
          <t>HALLSBERG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38008-2025</t>
        </is>
      </c>
      <c r="B303" s="1" t="n">
        <v>45882.29001157408</v>
      </c>
      <c r="C303" s="1" t="n">
        <v>46092</v>
      </c>
      <c r="D303" t="inlineStr">
        <is>
          <t>ÖREBRO LÄN</t>
        </is>
      </c>
      <c r="E303" t="inlineStr">
        <is>
          <t>HALLSBERG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37797-2025</t>
        </is>
      </c>
      <c r="B304" s="1" t="n">
        <v>45881.34215277778</v>
      </c>
      <c r="C304" s="1" t="n">
        <v>46092</v>
      </c>
      <c r="D304" t="inlineStr">
        <is>
          <t>ÖREBRO LÄN</t>
        </is>
      </c>
      <c r="E304" t="inlineStr">
        <is>
          <t>HALLSBERG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18137-2025</t>
        </is>
      </c>
      <c r="B305" s="1" t="n">
        <v>45761.60311342592</v>
      </c>
      <c r="C305" s="1" t="n">
        <v>46092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6876-2023</t>
        </is>
      </c>
      <c r="B306" s="1" t="n">
        <v>44967.47450231481</v>
      </c>
      <c r="C306" s="1" t="n">
        <v>46092</v>
      </c>
      <c r="D306" t="inlineStr">
        <is>
          <t>ÖREBRO LÄN</t>
        </is>
      </c>
      <c r="E306" t="inlineStr">
        <is>
          <t>HALLSBERG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54075-2024</t>
        </is>
      </c>
      <c r="B307" s="1" t="n">
        <v>45616.48739583333</v>
      </c>
      <c r="C307" s="1" t="n">
        <v>46092</v>
      </c>
      <c r="D307" t="inlineStr">
        <is>
          <t>ÖREBRO LÄN</t>
        </is>
      </c>
      <c r="E307" t="inlineStr">
        <is>
          <t>HALLSBERG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18140-2025</t>
        </is>
      </c>
      <c r="B308" s="1" t="n">
        <v>45761.60518518519</v>
      </c>
      <c r="C308" s="1" t="n">
        <v>46092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40551-2023</t>
        </is>
      </c>
      <c r="B309" s="1" t="n">
        <v>45170.45384259259</v>
      </c>
      <c r="C309" s="1" t="n">
        <v>46092</v>
      </c>
      <c r="D309" t="inlineStr">
        <is>
          <t>ÖREBRO LÄN</t>
        </is>
      </c>
      <c r="E309" t="inlineStr">
        <is>
          <t>HALLSBERG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36591-2021</t>
        </is>
      </c>
      <c r="B310" s="1" t="n">
        <v>44391</v>
      </c>
      <c r="C310" s="1" t="n">
        <v>46092</v>
      </c>
      <c r="D310" t="inlineStr">
        <is>
          <t>ÖREBRO LÄN</t>
        </is>
      </c>
      <c r="E310" t="inlineStr">
        <is>
          <t>HALLSBERG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18893-2024</t>
        </is>
      </c>
      <c r="B311" s="1" t="n">
        <v>45427.33241898148</v>
      </c>
      <c r="C311" s="1" t="n">
        <v>46092</v>
      </c>
      <c r="D311" t="inlineStr">
        <is>
          <t>ÖREBRO LÄN</t>
        </is>
      </c>
      <c r="E311" t="inlineStr">
        <is>
          <t>HALLSBERG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46863-2024</t>
        </is>
      </c>
      <c r="B312" s="1" t="n">
        <v>45583</v>
      </c>
      <c r="C312" s="1" t="n">
        <v>46092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14928-2022</t>
        </is>
      </c>
      <c r="B313" s="1" t="n">
        <v>44657</v>
      </c>
      <c r="C313" s="1" t="n">
        <v>46092</v>
      </c>
      <c r="D313" t="inlineStr">
        <is>
          <t>ÖREBRO LÄN</t>
        </is>
      </c>
      <c r="E313" t="inlineStr">
        <is>
          <t>HALLSBERG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11016-2025</t>
        </is>
      </c>
      <c r="B314" s="1" t="n">
        <v>45723.46458333333</v>
      </c>
      <c r="C314" s="1" t="n">
        <v>46092</v>
      </c>
      <c r="D314" t="inlineStr">
        <is>
          <t>ÖREBRO LÄN</t>
        </is>
      </c>
      <c r="E314" t="inlineStr">
        <is>
          <t>HALLSBERG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50237-2024</t>
        </is>
      </c>
      <c r="B315" s="1" t="n">
        <v>45600</v>
      </c>
      <c r="C315" s="1" t="n">
        <v>46092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5417-2024</t>
        </is>
      </c>
      <c r="B316" s="1" t="n">
        <v>45331.64133101852</v>
      </c>
      <c r="C316" s="1" t="n">
        <v>46092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33290-2021</t>
        </is>
      </c>
      <c r="B317" s="1" t="n">
        <v>44377.40789351852</v>
      </c>
      <c r="C317" s="1" t="n">
        <v>46092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51350-2023</t>
        </is>
      </c>
      <c r="B318" s="1" t="n">
        <v>45213</v>
      </c>
      <c r="C318" s="1" t="n">
        <v>46092</v>
      </c>
      <c r="D318" t="inlineStr">
        <is>
          <t>ÖREBRO LÄN</t>
        </is>
      </c>
      <c r="E318" t="inlineStr">
        <is>
          <t>HALLSBERG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61057-2023</t>
        </is>
      </c>
      <c r="B319" s="1" t="n">
        <v>45261.61064814815</v>
      </c>
      <c r="C319" s="1" t="n">
        <v>46092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61058-2023</t>
        </is>
      </c>
      <c r="B320" s="1" t="n">
        <v>45261.61119212963</v>
      </c>
      <c r="C320" s="1" t="n">
        <v>46092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11984-2025</t>
        </is>
      </c>
      <c r="B321" s="1" t="n">
        <v>45728.59774305556</v>
      </c>
      <c r="C321" s="1" t="n">
        <v>46092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19853-2022</t>
        </is>
      </c>
      <c r="B322" s="1" t="n">
        <v>44696.95393518519</v>
      </c>
      <c r="C322" s="1" t="n">
        <v>46092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64172-2023</t>
        </is>
      </c>
      <c r="B323" s="1" t="n">
        <v>45279</v>
      </c>
      <c r="C323" s="1" t="n">
        <v>46092</v>
      </c>
      <c r="D323" t="inlineStr">
        <is>
          <t>ÖREBRO LÄN</t>
        </is>
      </c>
      <c r="E323" t="inlineStr">
        <is>
          <t>HALLSBERG</t>
        </is>
      </c>
      <c r="F323" t="inlineStr">
        <is>
          <t>Övriga Aktiebolag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24624-2023</t>
        </is>
      </c>
      <c r="B324" s="1" t="n">
        <v>45084</v>
      </c>
      <c r="C324" s="1" t="n">
        <v>46092</v>
      </c>
      <c r="D324" t="inlineStr">
        <is>
          <t>ÖREBRO LÄN</t>
        </is>
      </c>
      <c r="E324" t="inlineStr">
        <is>
          <t>HALLSBERG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20352-2025</t>
        </is>
      </c>
      <c r="B325" s="1" t="n">
        <v>45775.39032407408</v>
      </c>
      <c r="C325" s="1" t="n">
        <v>46092</v>
      </c>
      <c r="D325" t="inlineStr">
        <is>
          <t>ÖREBRO LÄN</t>
        </is>
      </c>
      <c r="E325" t="inlineStr">
        <is>
          <t>HALLSBERG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14934-2024</t>
        </is>
      </c>
      <c r="B326" s="1" t="n">
        <v>45398.66583333333</v>
      </c>
      <c r="C326" s="1" t="n">
        <v>46092</v>
      </c>
      <c r="D326" t="inlineStr">
        <is>
          <t>ÖREBRO LÄN</t>
        </is>
      </c>
      <c r="E326" t="inlineStr">
        <is>
          <t>HALLSBERG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36081-2023</t>
        </is>
      </c>
      <c r="B327" s="1" t="n">
        <v>45149</v>
      </c>
      <c r="C327" s="1" t="n">
        <v>46092</v>
      </c>
      <c r="D327" t="inlineStr">
        <is>
          <t>ÖREBRO LÄN</t>
        </is>
      </c>
      <c r="E327" t="inlineStr">
        <is>
          <t>HALLSBERG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52710-2023</t>
        </is>
      </c>
      <c r="B328" s="1" t="n">
        <v>45225.84559027778</v>
      </c>
      <c r="C328" s="1" t="n">
        <v>46092</v>
      </c>
      <c r="D328" t="inlineStr">
        <is>
          <t>ÖREBRO LÄN</t>
        </is>
      </c>
      <c r="E328" t="inlineStr">
        <is>
          <t>HALLSBERG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46055-2024</t>
        </is>
      </c>
      <c r="B329" s="1" t="n">
        <v>45580</v>
      </c>
      <c r="C329" s="1" t="n">
        <v>46092</v>
      </c>
      <c r="D329" t="inlineStr">
        <is>
          <t>ÖREBRO LÄN</t>
        </is>
      </c>
      <c r="E329" t="inlineStr">
        <is>
          <t>HALLSBERG</t>
        </is>
      </c>
      <c r="F329" t="inlineStr">
        <is>
          <t>Övriga Aktiebolag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31893-2022</t>
        </is>
      </c>
      <c r="B330" s="1" t="n">
        <v>44777</v>
      </c>
      <c r="C330" s="1" t="n">
        <v>46092</v>
      </c>
      <c r="D330" t="inlineStr">
        <is>
          <t>ÖREBRO LÄN</t>
        </is>
      </c>
      <c r="E330" t="inlineStr">
        <is>
          <t>HALLSBERG</t>
        </is>
      </c>
      <c r="F330" t="inlineStr">
        <is>
          <t>Övriga Aktiebolag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18892-2024</t>
        </is>
      </c>
      <c r="B331" s="1" t="n">
        <v>45427.32600694444</v>
      </c>
      <c r="C331" s="1" t="n">
        <v>46092</v>
      </c>
      <c r="D331" t="inlineStr">
        <is>
          <t>ÖREBRO LÄN</t>
        </is>
      </c>
      <c r="E331" t="inlineStr">
        <is>
          <t>HALLSBERG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61448-2022</t>
        </is>
      </c>
      <c r="B332" s="1" t="n">
        <v>44916</v>
      </c>
      <c r="C332" s="1" t="n">
        <v>46092</v>
      </c>
      <c r="D332" t="inlineStr">
        <is>
          <t>ÖREBRO LÄN</t>
        </is>
      </c>
      <c r="E332" t="inlineStr">
        <is>
          <t>HALLSBERG</t>
        </is>
      </c>
      <c r="F332" t="inlineStr">
        <is>
          <t>Kommuner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41278-2024</t>
        </is>
      </c>
      <c r="B333" s="1" t="n">
        <v>45559</v>
      </c>
      <c r="C333" s="1" t="n">
        <v>46092</v>
      </c>
      <c r="D333" t="inlineStr">
        <is>
          <t>ÖREBRO LÄN</t>
        </is>
      </c>
      <c r="E333" t="inlineStr">
        <is>
          <t>HALLSBERG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19849-2022</t>
        </is>
      </c>
      <c r="B334" s="1" t="n">
        <v>44696</v>
      </c>
      <c r="C334" s="1" t="n">
        <v>46092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8606-2022</t>
        </is>
      </c>
      <c r="B335" s="1" t="n">
        <v>44610</v>
      </c>
      <c r="C335" s="1" t="n">
        <v>46092</v>
      </c>
      <c r="D335" t="inlineStr">
        <is>
          <t>ÖREBRO LÄN</t>
        </is>
      </c>
      <c r="E335" t="inlineStr">
        <is>
          <t>HALLSBERG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24416-2023</t>
        </is>
      </c>
      <c r="B336" s="1" t="n">
        <v>45082</v>
      </c>
      <c r="C336" s="1" t="n">
        <v>46092</v>
      </c>
      <c r="D336" t="inlineStr">
        <is>
          <t>ÖREBRO LÄN</t>
        </is>
      </c>
      <c r="E336" t="inlineStr">
        <is>
          <t>HALLSBERG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46580-2024</t>
        </is>
      </c>
      <c r="B337" s="1" t="n">
        <v>45582.75087962963</v>
      </c>
      <c r="C337" s="1" t="n">
        <v>46092</v>
      </c>
      <c r="D337" t="inlineStr">
        <is>
          <t>ÖREBRO LÄN</t>
        </is>
      </c>
      <c r="E337" t="inlineStr">
        <is>
          <t>HALLSBERG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27110-2023</t>
        </is>
      </c>
      <c r="B338" s="1" t="n">
        <v>45096.43236111111</v>
      </c>
      <c r="C338" s="1" t="n">
        <v>46092</v>
      </c>
      <c r="D338" t="inlineStr">
        <is>
          <t>ÖREBRO LÄN</t>
        </is>
      </c>
      <c r="E338" t="inlineStr">
        <is>
          <t>HALLSBERG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6763-2024</t>
        </is>
      </c>
      <c r="B339" s="1" t="n">
        <v>45342</v>
      </c>
      <c r="C339" s="1" t="n">
        <v>46092</v>
      </c>
      <c r="D339" t="inlineStr">
        <is>
          <t>ÖREBRO LÄN</t>
        </is>
      </c>
      <c r="E339" t="inlineStr">
        <is>
          <t>HALLSBERG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41181-2023</t>
        </is>
      </c>
      <c r="B340" s="1" t="n">
        <v>45174</v>
      </c>
      <c r="C340" s="1" t="n">
        <v>46092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46835-2024</t>
        </is>
      </c>
      <c r="B341" s="1" t="n">
        <v>45583</v>
      </c>
      <c r="C341" s="1" t="n">
        <v>46092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18132-2025</t>
        </is>
      </c>
      <c r="B342" s="1" t="n">
        <v>45761.60049768518</v>
      </c>
      <c r="C342" s="1" t="n">
        <v>46092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51479-2022</t>
        </is>
      </c>
      <c r="B343" s="1" t="n">
        <v>44869</v>
      </c>
      <c r="C343" s="1" t="n">
        <v>46092</v>
      </c>
      <c r="D343" t="inlineStr">
        <is>
          <t>ÖREBRO LÄN</t>
        </is>
      </c>
      <c r="E343" t="inlineStr">
        <is>
          <t>HALLSBERG</t>
        </is>
      </c>
      <c r="F343" t="inlineStr">
        <is>
          <t>Övriga Aktiebolag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46866-2024</t>
        </is>
      </c>
      <c r="B344" s="1" t="n">
        <v>45583</v>
      </c>
      <c r="C344" s="1" t="n">
        <v>46092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38831-2022</t>
        </is>
      </c>
      <c r="B345" s="1" t="n">
        <v>44814</v>
      </c>
      <c r="C345" s="1" t="n">
        <v>46092</v>
      </c>
      <c r="D345" t="inlineStr">
        <is>
          <t>ÖREBRO LÄN</t>
        </is>
      </c>
      <c r="E345" t="inlineStr">
        <is>
          <t>HALLSBERG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16085-2022</t>
        </is>
      </c>
      <c r="B346" s="1" t="n">
        <v>44665</v>
      </c>
      <c r="C346" s="1" t="n">
        <v>46092</v>
      </c>
      <c r="D346" t="inlineStr">
        <is>
          <t>ÖREBRO LÄN</t>
        </is>
      </c>
      <c r="E346" t="inlineStr">
        <is>
          <t>HALLSBERG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9933-2025</t>
        </is>
      </c>
      <c r="B347" s="1" t="n">
        <v>45717.85300925926</v>
      </c>
      <c r="C347" s="1" t="n">
        <v>46092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29859-2022</t>
        </is>
      </c>
      <c r="B348" s="1" t="n">
        <v>44756.38414351852</v>
      </c>
      <c r="C348" s="1" t="n">
        <v>46092</v>
      </c>
      <c r="D348" t="inlineStr">
        <is>
          <t>ÖREBRO LÄN</t>
        </is>
      </c>
      <c r="E348" t="inlineStr">
        <is>
          <t>HALLSBERG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33097-2023</t>
        </is>
      </c>
      <c r="B349" s="1" t="n">
        <v>45126.54177083333</v>
      </c>
      <c r="C349" s="1" t="n">
        <v>46092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41196-2023</t>
        </is>
      </c>
      <c r="B350" s="1" t="n">
        <v>45174</v>
      </c>
      <c r="C350" s="1" t="n">
        <v>46092</v>
      </c>
      <c r="D350" t="inlineStr">
        <is>
          <t>ÖREBRO LÄN</t>
        </is>
      </c>
      <c r="E350" t="inlineStr">
        <is>
          <t>HALLSBERG</t>
        </is>
      </c>
      <c r="F350" t="inlineStr">
        <is>
          <t>Allmännings- och besparingsskogar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7784-2024</t>
        </is>
      </c>
      <c r="B351" s="1" t="n">
        <v>45349.60084490741</v>
      </c>
      <c r="C351" s="1" t="n">
        <v>46092</v>
      </c>
      <c r="D351" t="inlineStr">
        <is>
          <t>ÖREBRO LÄN</t>
        </is>
      </c>
      <c r="E351" t="inlineStr">
        <is>
          <t>HALLSBERG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7788-2024</t>
        </is>
      </c>
      <c r="B352" s="1" t="n">
        <v>45349.60403935185</v>
      </c>
      <c r="C352" s="1" t="n">
        <v>46092</v>
      </c>
      <c r="D352" t="inlineStr">
        <is>
          <t>ÖREBRO LÄN</t>
        </is>
      </c>
      <c r="E352" t="inlineStr">
        <is>
          <t>HALLSBERG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28537-2024</t>
        </is>
      </c>
      <c r="B353" s="1" t="n">
        <v>45478.34296296296</v>
      </c>
      <c r="C353" s="1" t="n">
        <v>46092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28540-2024</t>
        </is>
      </c>
      <c r="B354" s="1" t="n">
        <v>45478.34668981482</v>
      </c>
      <c r="C354" s="1" t="n">
        <v>46092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54679-2023</t>
        </is>
      </c>
      <c r="B355" s="1" t="n">
        <v>45235.89943287037</v>
      </c>
      <c r="C355" s="1" t="n">
        <v>46092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45852-2023</t>
        </is>
      </c>
      <c r="B356" s="1" t="n">
        <v>45195.59644675926</v>
      </c>
      <c r="C356" s="1" t="n">
        <v>46092</v>
      </c>
      <c r="D356" t="inlineStr">
        <is>
          <t>ÖREBRO LÄN</t>
        </is>
      </c>
      <c r="E356" t="inlineStr">
        <is>
          <t>HALLSBERG</t>
        </is>
      </c>
      <c r="F356" t="inlineStr">
        <is>
          <t>Allmännings- och besparingsskogar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42443-2024</t>
        </is>
      </c>
      <c r="B357" s="1" t="n">
        <v>45565</v>
      </c>
      <c r="C357" s="1" t="n">
        <v>46092</v>
      </c>
      <c r="D357" t="inlineStr">
        <is>
          <t>ÖREBRO LÄN</t>
        </is>
      </c>
      <c r="E357" t="inlineStr">
        <is>
          <t>HALLSBERG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52707-2023</t>
        </is>
      </c>
      <c r="B358" s="1" t="n">
        <v>45225.8415625</v>
      </c>
      <c r="C358" s="1" t="n">
        <v>46092</v>
      </c>
      <c r="D358" t="inlineStr">
        <is>
          <t>ÖREBRO LÄN</t>
        </is>
      </c>
      <c r="E358" t="inlineStr">
        <is>
          <t>HALLSBERG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46862-2024</t>
        </is>
      </c>
      <c r="B359" s="1" t="n">
        <v>45583</v>
      </c>
      <c r="C359" s="1" t="n">
        <v>46092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46833-2024</t>
        </is>
      </c>
      <c r="B360" s="1" t="n">
        <v>45583.59436342592</v>
      </c>
      <c r="C360" s="1" t="n">
        <v>46092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24629-2023</t>
        </is>
      </c>
      <c r="B361" s="1" t="n">
        <v>45084.39814814815</v>
      </c>
      <c r="C361" s="1" t="n">
        <v>46092</v>
      </c>
      <c r="D361" t="inlineStr">
        <is>
          <t>ÖREBRO LÄN</t>
        </is>
      </c>
      <c r="E361" t="inlineStr">
        <is>
          <t>HALLSBERG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3799-2024</t>
        </is>
      </c>
      <c r="B362" s="1" t="n">
        <v>45321.63527777778</v>
      </c>
      <c r="C362" s="1" t="n">
        <v>46092</v>
      </c>
      <c r="D362" t="inlineStr">
        <is>
          <t>ÖREBRO LÄN</t>
        </is>
      </c>
      <c r="E362" t="inlineStr">
        <is>
          <t>HALLSBERG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11988-2025</t>
        </is>
      </c>
      <c r="B363" s="1" t="n">
        <v>45728.60030092593</v>
      </c>
      <c r="C363" s="1" t="n">
        <v>46092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19408-2023</t>
        </is>
      </c>
      <c r="B364" s="1" t="n">
        <v>45049</v>
      </c>
      <c r="C364" s="1" t="n">
        <v>46092</v>
      </c>
      <c r="D364" t="inlineStr">
        <is>
          <t>ÖREBRO LÄN</t>
        </is>
      </c>
      <c r="E364" t="inlineStr">
        <is>
          <t>HALLSBERG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14676-2024</t>
        </is>
      </c>
      <c r="B365" s="1" t="n">
        <v>45397</v>
      </c>
      <c r="C365" s="1" t="n">
        <v>46092</v>
      </c>
      <c r="D365" t="inlineStr">
        <is>
          <t>ÖREBRO LÄN</t>
        </is>
      </c>
      <c r="E365" t="inlineStr">
        <is>
          <t>HALLSBERG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41410-2021</t>
        </is>
      </c>
      <c r="B366" s="1" t="n">
        <v>44424</v>
      </c>
      <c r="C366" s="1" t="n">
        <v>46092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46061-2024</t>
        </is>
      </c>
      <c r="B367" s="1" t="n">
        <v>45580.93525462963</v>
      </c>
      <c r="C367" s="1" t="n">
        <v>46092</v>
      </c>
      <c r="D367" t="inlineStr">
        <is>
          <t>ÖREBRO LÄN</t>
        </is>
      </c>
      <c r="E367" t="inlineStr">
        <is>
          <t>HALLSBERG</t>
        </is>
      </c>
      <c r="F367" t="inlineStr">
        <is>
          <t>Övriga Aktiebolag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13468-2024</t>
        </is>
      </c>
      <c r="B368" s="1" t="n">
        <v>45387.57523148148</v>
      </c>
      <c r="C368" s="1" t="n">
        <v>46092</v>
      </c>
      <c r="D368" t="inlineStr">
        <is>
          <t>ÖREBRO LÄN</t>
        </is>
      </c>
      <c r="E368" t="inlineStr">
        <is>
          <t>HALLSBERG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9569-2023</t>
        </is>
      </c>
      <c r="B369" s="1" t="n">
        <v>44982.51056712963</v>
      </c>
      <c r="C369" s="1" t="n">
        <v>46092</v>
      </c>
      <c r="D369" t="inlineStr">
        <is>
          <t>ÖREBRO LÄN</t>
        </is>
      </c>
      <c r="E369" t="inlineStr">
        <is>
          <t>HALLSBERG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29908-2024</t>
        </is>
      </c>
      <c r="B370" s="1" t="n">
        <v>45487.82888888889</v>
      </c>
      <c r="C370" s="1" t="n">
        <v>46092</v>
      </c>
      <c r="D370" t="inlineStr">
        <is>
          <t>ÖREBRO LÄN</t>
        </is>
      </c>
      <c r="E370" t="inlineStr">
        <is>
          <t>HALLSBERG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1413-2025</t>
        </is>
      </c>
      <c r="B371" s="1" t="n">
        <v>45668</v>
      </c>
      <c r="C371" s="1" t="n">
        <v>46092</v>
      </c>
      <c r="D371" t="inlineStr">
        <is>
          <t>ÖREBRO LÄN</t>
        </is>
      </c>
      <c r="E371" t="inlineStr">
        <is>
          <t>HALLSBERG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12053-2022</t>
        </is>
      </c>
      <c r="B372" s="1" t="n">
        <v>44636</v>
      </c>
      <c r="C372" s="1" t="n">
        <v>46092</v>
      </c>
      <c r="D372" t="inlineStr">
        <is>
          <t>ÖREBRO LÄN</t>
        </is>
      </c>
      <c r="E372" t="inlineStr">
        <is>
          <t>HALLSBERG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18146-2023</t>
        </is>
      </c>
      <c r="B373" s="1" t="n">
        <v>45040</v>
      </c>
      <c r="C373" s="1" t="n">
        <v>46092</v>
      </c>
      <c r="D373" t="inlineStr">
        <is>
          <t>ÖREBRO LÄN</t>
        </is>
      </c>
      <c r="E373" t="inlineStr">
        <is>
          <t>HALLSBERG</t>
        </is>
      </c>
      <c r="G373" t="n">
        <v>31.3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19751-2024</t>
        </is>
      </c>
      <c r="B374" s="1" t="n">
        <v>45432.66449074074</v>
      </c>
      <c r="C374" s="1" t="n">
        <v>46092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53012-2023</t>
        </is>
      </c>
      <c r="B375" s="1" t="n">
        <v>45226</v>
      </c>
      <c r="C375" s="1" t="n">
        <v>46092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44210-2022</t>
        </is>
      </c>
      <c r="B376" s="1" t="n">
        <v>44839.495</v>
      </c>
      <c r="C376" s="1" t="n">
        <v>46092</v>
      </c>
      <c r="D376" t="inlineStr">
        <is>
          <t>ÖREBRO LÄN</t>
        </is>
      </c>
      <c r="E376" t="inlineStr">
        <is>
          <t>HALLSBERG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31094-2024</t>
        </is>
      </c>
      <c r="B377" s="1" t="n">
        <v>45502</v>
      </c>
      <c r="C377" s="1" t="n">
        <v>46092</v>
      </c>
      <c r="D377" t="inlineStr">
        <is>
          <t>ÖREBRO LÄN</t>
        </is>
      </c>
      <c r="E377" t="inlineStr">
        <is>
          <t>HALLSBERG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12014-2025</t>
        </is>
      </c>
      <c r="B378" s="1" t="n">
        <v>45728.62311342593</v>
      </c>
      <c r="C378" s="1" t="n">
        <v>46092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33252-2024</t>
        </is>
      </c>
      <c r="B379" s="1" t="n">
        <v>45518.64752314815</v>
      </c>
      <c r="C379" s="1" t="n">
        <v>46092</v>
      </c>
      <c r="D379" t="inlineStr">
        <is>
          <t>ÖREBRO LÄN</t>
        </is>
      </c>
      <c r="E379" t="inlineStr">
        <is>
          <t>HALLSBERG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56271-2023</t>
        </is>
      </c>
      <c r="B380" s="1" t="n">
        <v>45240</v>
      </c>
      <c r="C380" s="1" t="n">
        <v>46092</v>
      </c>
      <c r="D380" t="inlineStr">
        <is>
          <t>ÖREBRO LÄN</t>
        </is>
      </c>
      <c r="E380" t="inlineStr">
        <is>
          <t>HALLSBERG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49582-2022</t>
        </is>
      </c>
      <c r="B381" s="1" t="n">
        <v>44862.36460648148</v>
      </c>
      <c r="C381" s="1" t="n">
        <v>46092</v>
      </c>
      <c r="D381" t="inlineStr">
        <is>
          <t>ÖREBRO LÄN</t>
        </is>
      </c>
      <c r="E381" t="inlineStr">
        <is>
          <t>HALLSBERG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8346-2024</t>
        </is>
      </c>
      <c r="B382" s="1" t="n">
        <v>45352.55505787037</v>
      </c>
      <c r="C382" s="1" t="n">
        <v>46092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63213-2023</t>
        </is>
      </c>
      <c r="B383" s="1" t="n">
        <v>45272</v>
      </c>
      <c r="C383" s="1" t="n">
        <v>46092</v>
      </c>
      <c r="D383" t="inlineStr">
        <is>
          <t>ÖREBRO LÄN</t>
        </is>
      </c>
      <c r="E383" t="inlineStr">
        <is>
          <t>HALLSBERG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11925-2025</t>
        </is>
      </c>
      <c r="B384" s="1" t="n">
        <v>45728.50564814815</v>
      </c>
      <c r="C384" s="1" t="n">
        <v>46092</v>
      </c>
      <c r="D384" t="inlineStr">
        <is>
          <t>ÖREBRO LÄN</t>
        </is>
      </c>
      <c r="E384" t="inlineStr">
        <is>
          <t>HALLSBERG</t>
        </is>
      </c>
      <c r="F384" t="inlineStr">
        <is>
          <t>Allmännings- och besparingsskogar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20981-2024</t>
        </is>
      </c>
      <c r="B385" s="1" t="n">
        <v>45439</v>
      </c>
      <c r="C385" s="1" t="n">
        <v>46092</v>
      </c>
      <c r="D385" t="inlineStr">
        <is>
          <t>ÖREBRO LÄN</t>
        </is>
      </c>
      <c r="E385" t="inlineStr">
        <is>
          <t>HALLSBERG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60081-2023</t>
        </is>
      </c>
      <c r="B386" s="1" t="n">
        <v>45258</v>
      </c>
      <c r="C386" s="1" t="n">
        <v>46092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29503-2021</t>
        </is>
      </c>
      <c r="B387" s="1" t="n">
        <v>44361</v>
      </c>
      <c r="C387" s="1" t="n">
        <v>46092</v>
      </c>
      <c r="D387" t="inlineStr">
        <is>
          <t>ÖREBRO LÄN</t>
        </is>
      </c>
      <c r="E387" t="inlineStr">
        <is>
          <t>HALLSBERG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4443-2025</t>
        </is>
      </c>
      <c r="B388" s="1" t="n">
        <v>45686.56048611111</v>
      </c>
      <c r="C388" s="1" t="n">
        <v>46092</v>
      </c>
      <c r="D388" t="inlineStr">
        <is>
          <t>ÖREBRO LÄN</t>
        </is>
      </c>
      <c r="E388" t="inlineStr">
        <is>
          <t>HALLSBERG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8252-2022</t>
        </is>
      </c>
      <c r="B389" s="1" t="n">
        <v>44610.33194444444</v>
      </c>
      <c r="C389" s="1" t="n">
        <v>46092</v>
      </c>
      <c r="D389" t="inlineStr">
        <is>
          <t>ÖREBRO LÄN</t>
        </is>
      </c>
      <c r="E389" t="inlineStr">
        <is>
          <t>HALLSBERG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15591-2025</t>
        </is>
      </c>
      <c r="B390" s="1" t="n">
        <v>45747</v>
      </c>
      <c r="C390" s="1" t="n">
        <v>46092</v>
      </c>
      <c r="D390" t="inlineStr">
        <is>
          <t>ÖREBRO LÄN</t>
        </is>
      </c>
      <c r="E390" t="inlineStr">
        <is>
          <t>HALLSBERG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46792-2023</t>
        </is>
      </c>
      <c r="B391" s="1" t="n">
        <v>45198</v>
      </c>
      <c r="C391" s="1" t="n">
        <v>46092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50259-2024</t>
        </is>
      </c>
      <c r="B392" s="1" t="n">
        <v>45600</v>
      </c>
      <c r="C392" s="1" t="n">
        <v>46092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60685-2021</t>
        </is>
      </c>
      <c r="B393" s="1" t="n">
        <v>44496</v>
      </c>
      <c r="C393" s="1" t="n">
        <v>46092</v>
      </c>
      <c r="D393" t="inlineStr">
        <is>
          <t>ÖREBRO LÄN</t>
        </is>
      </c>
      <c r="E393" t="inlineStr">
        <is>
          <t>HALLSBERG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20724-2025</t>
        </is>
      </c>
      <c r="B394" s="1" t="n">
        <v>45776.51016203704</v>
      </c>
      <c r="C394" s="1" t="n">
        <v>46092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20730-2025</t>
        </is>
      </c>
      <c r="B395" s="1" t="n">
        <v>45776.51508101852</v>
      </c>
      <c r="C395" s="1" t="n">
        <v>46092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20729-2025</t>
        </is>
      </c>
      <c r="B396" s="1" t="n">
        <v>45776.51268518518</v>
      </c>
      <c r="C396" s="1" t="n">
        <v>46092</v>
      </c>
      <c r="D396" t="inlineStr">
        <is>
          <t>ÖREBRO LÄN</t>
        </is>
      </c>
      <c r="E396" t="inlineStr">
        <is>
          <t>HALLSBERG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32536-2024</t>
        </is>
      </c>
      <c r="B397" s="1" t="n">
        <v>45513</v>
      </c>
      <c r="C397" s="1" t="n">
        <v>46092</v>
      </c>
      <c r="D397" t="inlineStr">
        <is>
          <t>ÖREBRO LÄN</t>
        </is>
      </c>
      <c r="E397" t="inlineStr">
        <is>
          <t>HALLSBERG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2026-03-11T11:21:08Z</dcterms:created>
  <dcterms:modified xmlns:dcterms="http://purl.org/dc/terms/" xmlns:xsi="http://www.w3.org/2001/XMLSchema-instance" xsi:type="dcterms:W3CDTF">2026-03-11T11:21:09Z</dcterms:modified>
</cp:coreProperties>
</file>