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46191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46191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46191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46191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46191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46191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46191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Entita
Gullpudra
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52525-2025</t>
        </is>
      </c>
      <c r="B11" s="1" t="n">
        <v>45954</v>
      </c>
      <c r="C11" s="1" t="n">
        <v>46191</v>
      </c>
      <c r="D11" t="inlineStr">
        <is>
          <t>ÖREBRO LÄN</t>
        </is>
      </c>
      <c r="E11" t="inlineStr">
        <is>
          <t>HALLSBERG</t>
        </is>
      </c>
      <c r="F11" t="inlineStr">
        <is>
          <t>Kyrkan</t>
        </is>
      </c>
      <c r="G11" t="n">
        <v>9.699999999999999</v>
      </c>
      <c r="H11" t="n">
        <v>5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Motaggsvamp
Talltita
Bronshjon
Thomsons trägnagare
Spillkråka
Tjäder
Kungsfågel
Fläcknycklar</t>
        </is>
      </c>
      <c r="S11">
        <f>HYPERLINK("https://klasma.github.io/Logging_1861/artfynd/A 52525-2025 artfynd.xlsx", "A 52525-2025")</f>
        <v/>
      </c>
      <c r="T11">
        <f>HYPERLINK("https://klasma.github.io/Logging_1861/kartor/A 52525-2025 karta.png", "A 52525-2025")</f>
        <v/>
      </c>
      <c r="V11">
        <f>HYPERLINK("https://klasma.github.io/Logging_1861/klagomål/A 52525-2025 FSC-klagomål.docx", "A 52525-2025")</f>
        <v/>
      </c>
      <c r="W11">
        <f>HYPERLINK("https://klasma.github.io/Logging_1861/klagomålsmail/A 52525-2025 FSC-klagomål mail.docx", "A 52525-2025")</f>
        <v/>
      </c>
      <c r="X11">
        <f>HYPERLINK("https://klasma.github.io/Logging_1861/tillsyn/A 52525-2025 tillsynsbegäran.docx", "A 52525-2025")</f>
        <v/>
      </c>
      <c r="Y11">
        <f>HYPERLINK("https://klasma.github.io/Logging_1861/tillsynsmail/A 52525-2025 tillsynsbegäran mail.docx", "A 52525-2025")</f>
        <v/>
      </c>
      <c r="Z11">
        <f>HYPERLINK("https://klasma.github.io/Logging_1861/fåglar/A 52525-2025 prioriterade fågelarter.docx", "A 52525-2025")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46191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46191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17970-2022</t>
        </is>
      </c>
      <c r="B15" s="1" t="n">
        <v>44683</v>
      </c>
      <c r="C15" s="1" t="n">
        <v>46191</v>
      </c>
      <c r="D15" t="inlineStr">
        <is>
          <t>ÖREBRO LÄN</t>
        </is>
      </c>
      <c r="E15" t="inlineStr">
        <is>
          <t>HALLSBERG</t>
        </is>
      </c>
      <c r="G15" t="n">
        <v>2.7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Reliktbock
Tallticka
Vågbandad barkbock
Blåsippa
Spillkråka</t>
        </is>
      </c>
      <c r="S15">
        <f>HYPERLINK("https://klasma.github.io/Logging_1861/artfynd/A 17970-2022 artfynd.xlsx", "A 17970-2022")</f>
        <v/>
      </c>
      <c r="T15">
        <f>HYPERLINK("https://klasma.github.io/Logging_1861/kartor/A 17970-2022 karta.png", "A 17970-2022")</f>
        <v/>
      </c>
      <c r="V15">
        <f>HYPERLINK("https://klasma.github.io/Logging_1861/klagomål/A 17970-2022 FSC-klagomål.docx", "A 17970-2022")</f>
        <v/>
      </c>
      <c r="W15">
        <f>HYPERLINK("https://klasma.github.io/Logging_1861/klagomålsmail/A 17970-2022 FSC-klagomål mail.docx", "A 17970-2022")</f>
        <v/>
      </c>
      <c r="X15">
        <f>HYPERLINK("https://klasma.github.io/Logging_1861/tillsyn/A 17970-2022 tillsynsbegäran.docx", "A 17970-2022")</f>
        <v/>
      </c>
      <c r="Y15">
        <f>HYPERLINK("https://klasma.github.io/Logging_1861/tillsynsmail/A 17970-2022 tillsynsbegäran mail.docx", "A 17970-2022")</f>
        <v/>
      </c>
      <c r="Z15">
        <f>HYPERLINK("https://klasma.github.io/Logging_1861/fåglar/A 17970-2022 prioriterade fågelarter.docx", "A 17970-2022")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46191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63227-2023</t>
        </is>
      </c>
      <c r="B17" s="1" t="n">
        <v>45272</v>
      </c>
      <c r="C17" s="1" t="n">
        <v>46191</v>
      </c>
      <c r="D17" t="inlineStr">
        <is>
          <t>ÖREBRO LÄN</t>
        </is>
      </c>
      <c r="E17" t="inlineStr">
        <is>
          <t>HALLSBERG</t>
        </is>
      </c>
      <c r="G17" t="n">
        <v>4.4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Revlummer</t>
        </is>
      </c>
      <c r="S17">
        <f>HYPERLINK("https://klasma.github.io/Logging_1861/artfynd/A 63227-2023 artfynd.xlsx", "A 63227-2023")</f>
        <v/>
      </c>
      <c r="T17">
        <f>HYPERLINK("https://klasma.github.io/Logging_1861/kartor/A 63227-2023 karta.png", "A 63227-2023")</f>
        <v/>
      </c>
      <c r="V17">
        <f>HYPERLINK("https://klasma.github.io/Logging_1861/klagomål/A 63227-2023 FSC-klagomål.docx", "A 63227-2023")</f>
        <v/>
      </c>
      <c r="W17">
        <f>HYPERLINK("https://klasma.github.io/Logging_1861/klagomålsmail/A 63227-2023 FSC-klagomål mail.docx", "A 63227-2023")</f>
        <v/>
      </c>
      <c r="X17">
        <f>HYPERLINK("https://klasma.github.io/Logging_1861/tillsyn/A 63227-2023 tillsynsbegäran.docx", "A 63227-2023")</f>
        <v/>
      </c>
      <c r="Y17">
        <f>HYPERLINK("https://klasma.github.io/Logging_1861/tillsynsmail/A 63227-2023 tillsynsbegäran mail.docx", "A 63227-2023")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46191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46191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Thomsons trägnagare
Vågbandad barkbock
Havsörn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44863-2023</t>
        </is>
      </c>
      <c r="B20" s="1" t="n">
        <v>45190</v>
      </c>
      <c r="C20" s="1" t="n">
        <v>46191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12.5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Björksplintborre
Dolkstekelsglasvinge
Strutbräken
Blåsippa</t>
        </is>
      </c>
      <c r="S20">
        <f>HYPERLINK("https://klasma.github.io/Logging_1861/artfynd/A 44863-2023 artfynd.xlsx", "A 44863-2023")</f>
        <v/>
      </c>
      <c r="T20">
        <f>HYPERLINK("https://klasma.github.io/Logging_1861/kartor/A 44863-2023 karta.png", "A 44863-2023")</f>
        <v/>
      </c>
      <c r="V20">
        <f>HYPERLINK("https://klasma.github.io/Logging_1861/klagomål/A 44863-2023 FSC-klagomål.docx", "A 44863-2023")</f>
        <v/>
      </c>
      <c r="W20">
        <f>HYPERLINK("https://klasma.github.io/Logging_1861/klagomålsmail/A 44863-2023 FSC-klagomål mail.docx", "A 44863-2023")</f>
        <v/>
      </c>
      <c r="X20">
        <f>HYPERLINK("https://klasma.github.io/Logging_1861/tillsyn/A 44863-2023 tillsynsbegäran.docx", "A 44863-2023")</f>
        <v/>
      </c>
      <c r="Y20">
        <f>HYPERLINK("https://klasma.github.io/Logging_1861/tillsynsmail/A 44863-2023 tillsynsbegäran mail.docx", "A 44863-2023")</f>
        <v/>
      </c>
    </row>
    <row r="21" ht="15" customHeight="1">
      <c r="A21" t="inlineStr">
        <is>
          <t>A 16122-2023</t>
        </is>
      </c>
      <c r="B21" s="1" t="n">
        <v>45027</v>
      </c>
      <c r="C21" s="1" t="n">
        <v>46191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10.7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Brunpudrad nållav
Spillkråka
Fläcknycklar
Revlummer</t>
        </is>
      </c>
      <c r="S21">
        <f>HYPERLINK("https://klasma.github.io/Logging_1861/artfynd/A 16122-2023 artfynd.xlsx", "A 16122-2023")</f>
        <v/>
      </c>
      <c r="T21">
        <f>HYPERLINK("https://klasma.github.io/Logging_1861/kartor/A 16122-2023 karta.png", "A 16122-2023")</f>
        <v/>
      </c>
      <c r="V21">
        <f>HYPERLINK("https://klasma.github.io/Logging_1861/klagomål/A 16122-2023 FSC-klagomål.docx", "A 16122-2023")</f>
        <v/>
      </c>
      <c r="W21">
        <f>HYPERLINK("https://klasma.github.io/Logging_1861/klagomålsmail/A 16122-2023 FSC-klagomål mail.docx", "A 16122-2023")</f>
        <v/>
      </c>
      <c r="X21">
        <f>HYPERLINK("https://klasma.github.io/Logging_1861/tillsyn/A 16122-2023 tillsynsbegäran.docx", "A 16122-2023")</f>
        <v/>
      </c>
      <c r="Y21">
        <f>HYPERLINK("https://klasma.github.io/Logging_1861/tillsynsmail/A 16122-2023 tillsynsbegäran mail.docx", "A 16122-2023")</f>
        <v/>
      </c>
      <c r="Z21">
        <f>HYPERLINK("https://klasma.github.io/Logging_1861/fåglar/A 16122-2023 prioriterade fågelarter.docx", "A 16122-2023")</f>
        <v/>
      </c>
    </row>
    <row r="22" ht="15" customHeight="1">
      <c r="A22" t="inlineStr">
        <is>
          <t>A 18146-2023</t>
        </is>
      </c>
      <c r="B22" s="1" t="n">
        <v>45040</v>
      </c>
      <c r="C22" s="1" t="n">
        <v>46191</v>
      </c>
      <c r="D22" t="inlineStr">
        <is>
          <t>ÖREBRO LÄN</t>
        </is>
      </c>
      <c r="E22" t="inlineStr">
        <is>
          <t>HALLSBERG</t>
        </is>
      </c>
      <c r="G22" t="n">
        <v>31.3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Nordfladdermus
Talltita
Större brunfladdermus
Vattenfladdermus</t>
        </is>
      </c>
      <c r="S22">
        <f>HYPERLINK("https://klasma.github.io/Logging_1861/artfynd/A 18146-2023 artfynd.xlsx", "A 18146-2023")</f>
        <v/>
      </c>
      <c r="T22">
        <f>HYPERLINK("https://klasma.github.io/Logging_1861/kartor/A 18146-2023 karta.png", "A 18146-2023")</f>
        <v/>
      </c>
      <c r="V22">
        <f>HYPERLINK("https://klasma.github.io/Logging_1861/klagomål/A 18146-2023 FSC-klagomål.docx", "A 18146-2023")</f>
        <v/>
      </c>
      <c r="W22">
        <f>HYPERLINK("https://klasma.github.io/Logging_1861/klagomålsmail/A 18146-2023 FSC-klagomål mail.docx", "A 18146-2023")</f>
        <v/>
      </c>
      <c r="X22">
        <f>HYPERLINK("https://klasma.github.io/Logging_1861/tillsyn/A 18146-2023 tillsynsbegäran.docx", "A 18146-2023")</f>
        <v/>
      </c>
      <c r="Y22">
        <f>HYPERLINK("https://klasma.github.io/Logging_1861/tillsynsmail/A 18146-2023 tillsynsbegäran mail.docx", "A 18146-2023")</f>
        <v/>
      </c>
      <c r="Z22">
        <f>HYPERLINK("https://klasma.github.io/Logging_1861/fåglar/A 18146-2023 prioriterade fågelarter.docx", "A 18146-2023")</f>
        <v/>
      </c>
    </row>
    <row r="23" ht="15" customHeight="1">
      <c r="A23" t="inlineStr">
        <is>
          <t>A 57764-2025</t>
        </is>
      </c>
      <c r="B23" s="1" t="n">
        <v>45981</v>
      </c>
      <c r="C23" s="1" t="n">
        <v>46191</v>
      </c>
      <c r="D23" t="inlineStr">
        <is>
          <t>ÖREBRO LÄN</t>
        </is>
      </c>
      <c r="E23" t="inlineStr">
        <is>
          <t>HALLSBERG</t>
        </is>
      </c>
      <c r="G23" t="n">
        <v>26.3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Nötkråka
Tibast
Kungsfågel</t>
        </is>
      </c>
      <c r="S23">
        <f>HYPERLINK("https://klasma.github.io/Logging_1861/artfynd/A 57764-2025 artfynd.xlsx", "A 57764-2025")</f>
        <v/>
      </c>
      <c r="T23">
        <f>HYPERLINK("https://klasma.github.io/Logging_1861/kartor/A 57764-2025 karta.png", "A 57764-2025")</f>
        <v/>
      </c>
      <c r="V23">
        <f>HYPERLINK("https://klasma.github.io/Logging_1861/klagomål/A 57764-2025 FSC-klagomål.docx", "A 57764-2025")</f>
        <v/>
      </c>
      <c r="W23">
        <f>HYPERLINK("https://klasma.github.io/Logging_1861/klagomålsmail/A 57764-2025 FSC-klagomål mail.docx", "A 57764-2025")</f>
        <v/>
      </c>
      <c r="X23">
        <f>HYPERLINK("https://klasma.github.io/Logging_1861/tillsyn/A 57764-2025 tillsynsbegäran.docx", "A 57764-2025")</f>
        <v/>
      </c>
      <c r="Y23">
        <f>HYPERLINK("https://klasma.github.io/Logging_1861/tillsynsmail/A 57764-2025 tillsynsbegäran mail.docx", "A 57764-2025")</f>
        <v/>
      </c>
      <c r="Z23">
        <f>HYPERLINK("https://klasma.github.io/Logging_1861/fåglar/A 57764-2025 prioriterade fågelarter.docx", "A 57764-2025")</f>
        <v/>
      </c>
    </row>
    <row r="24" ht="15" customHeight="1">
      <c r="A24" t="inlineStr">
        <is>
          <t>A 13190-2023</t>
        </is>
      </c>
      <c r="B24" s="1" t="n">
        <v>45002</v>
      </c>
      <c r="C24" s="1" t="n">
        <v>46191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Järnsparv
Grönsiska
Kungsfågel</t>
        </is>
      </c>
      <c r="S24">
        <f>HYPERLINK("https://klasma.github.io/Logging_1861/artfynd/A 13190-2023 artfynd.xlsx", "A 13190-2023")</f>
        <v/>
      </c>
      <c r="T24">
        <f>HYPERLINK("https://klasma.github.io/Logging_1861/kartor/A 13190-2023 karta.png", "A 13190-2023")</f>
        <v/>
      </c>
      <c r="V24">
        <f>HYPERLINK("https://klasma.github.io/Logging_1861/klagomål/A 13190-2023 FSC-klagomål.docx", "A 13190-2023")</f>
        <v/>
      </c>
      <c r="W24">
        <f>HYPERLINK("https://klasma.github.io/Logging_1861/klagomålsmail/A 13190-2023 FSC-klagomål mail.docx", "A 13190-2023")</f>
        <v/>
      </c>
      <c r="X24">
        <f>HYPERLINK("https://klasma.github.io/Logging_1861/tillsyn/A 13190-2023 tillsynsbegäran.docx", "A 13190-2023")</f>
        <v/>
      </c>
      <c r="Y24">
        <f>HYPERLINK("https://klasma.github.io/Logging_1861/tillsynsmail/A 13190-2023 tillsynsbegäran mail.docx", "A 13190-2023")</f>
        <v/>
      </c>
      <c r="Z24">
        <f>HYPERLINK("https://klasma.github.io/Logging_1861/fåglar/A 13190-2023 prioriterade fågelarter.docx", "A 13190-2023")</f>
        <v/>
      </c>
    </row>
    <row r="25" ht="15" customHeight="1">
      <c r="A25" t="inlineStr">
        <is>
          <t>A 19408-2023</t>
        </is>
      </c>
      <c r="B25" s="1" t="n">
        <v>45049</v>
      </c>
      <c r="C25" s="1" t="n">
        <v>46191</v>
      </c>
      <c r="D25" t="inlineStr">
        <is>
          <t>ÖREBRO LÄN</t>
        </is>
      </c>
      <c r="E25" t="inlineStr">
        <is>
          <t>HALLSBERG</t>
        </is>
      </c>
      <c r="G25" t="n">
        <v>5.9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Ask
Skogsalm
Tibast</t>
        </is>
      </c>
      <c r="S25">
        <f>HYPERLINK("https://klasma.github.io/Logging_1861/artfynd/A 19408-2023 artfynd.xlsx", "A 19408-2023")</f>
        <v/>
      </c>
      <c r="T25">
        <f>HYPERLINK("https://klasma.github.io/Logging_1861/kartor/A 19408-2023 karta.png", "A 19408-2023")</f>
        <v/>
      </c>
      <c r="V25">
        <f>HYPERLINK("https://klasma.github.io/Logging_1861/klagomål/A 19408-2023 FSC-klagomål.docx", "A 19408-2023")</f>
        <v/>
      </c>
      <c r="W25">
        <f>HYPERLINK("https://klasma.github.io/Logging_1861/klagomålsmail/A 19408-2023 FSC-klagomål mail.docx", "A 19408-2023")</f>
        <v/>
      </c>
      <c r="X25">
        <f>HYPERLINK("https://klasma.github.io/Logging_1861/tillsyn/A 19408-2023 tillsynsbegäran.docx", "A 19408-2023")</f>
        <v/>
      </c>
      <c r="Y25">
        <f>HYPERLINK("https://klasma.github.io/Logging_1861/tillsynsmail/A 19408-2023 tillsynsbegäran mail.docx", "A 19408-2023")</f>
        <v/>
      </c>
    </row>
    <row r="26" ht="15" customHeight="1">
      <c r="A26" t="inlineStr">
        <is>
          <t>A 20946-2026</t>
        </is>
      </c>
      <c r="B26" s="1" t="n">
        <v>46142</v>
      </c>
      <c r="C26" s="1" t="n">
        <v>46191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Tajgafältmätare
Fällmossa
Grov fjädermossa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17018-2023</t>
        </is>
      </c>
      <c r="B27" s="1" t="n">
        <v>45034</v>
      </c>
      <c r="C27" s="1" t="n">
        <v>46191</v>
      </c>
      <c r="D27" t="inlineStr">
        <is>
          <t>ÖREBRO LÄN</t>
        </is>
      </c>
      <c r="E27" t="inlineStr">
        <is>
          <t>HALLSBERG</t>
        </is>
      </c>
      <c r="G27" t="n">
        <v>5.6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Rosetticka
Gullviva
Revlummer</t>
        </is>
      </c>
      <c r="S27">
        <f>HYPERLINK("https://klasma.github.io/Logging_1861/artfynd/A 17018-2023 artfynd.xlsx", "A 17018-2023")</f>
        <v/>
      </c>
      <c r="T27">
        <f>HYPERLINK("https://klasma.github.io/Logging_1861/kartor/A 17018-2023 karta.png", "A 17018-2023")</f>
        <v/>
      </c>
      <c r="V27">
        <f>HYPERLINK("https://klasma.github.io/Logging_1861/klagomål/A 17018-2023 FSC-klagomål.docx", "A 17018-2023")</f>
        <v/>
      </c>
      <c r="W27">
        <f>HYPERLINK("https://klasma.github.io/Logging_1861/klagomålsmail/A 17018-2023 FSC-klagomål mail.docx", "A 17018-2023")</f>
        <v/>
      </c>
      <c r="X27">
        <f>HYPERLINK("https://klasma.github.io/Logging_1861/tillsyn/A 17018-2023 tillsynsbegäran.docx", "A 17018-2023")</f>
        <v/>
      </c>
      <c r="Y27">
        <f>HYPERLINK("https://klasma.github.io/Logging_1861/tillsynsmail/A 17018-2023 tillsynsbegäran mail.docx", "A 17018-2023")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46191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2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Ask
Tistelsnyltrot
Skogsknipprot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46191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13183-2023</t>
        </is>
      </c>
      <c r="B30" s="1" t="n">
        <v>45002</v>
      </c>
      <c r="C30" s="1" t="n">
        <v>46191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3.2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Ögonpyrola
Blåsippa
Kungsfågel</t>
        </is>
      </c>
      <c r="S30">
        <f>HYPERLINK("https://klasma.github.io/Logging_1861/artfynd/A 13183-2023 artfynd.xlsx", "A 13183-2023")</f>
        <v/>
      </c>
      <c r="T30">
        <f>HYPERLINK("https://klasma.github.io/Logging_1861/kartor/A 13183-2023 karta.png", "A 13183-2023")</f>
        <v/>
      </c>
      <c r="V30">
        <f>HYPERLINK("https://klasma.github.io/Logging_1861/klagomål/A 13183-2023 FSC-klagomål.docx", "A 13183-2023")</f>
        <v/>
      </c>
      <c r="W30">
        <f>HYPERLINK("https://klasma.github.io/Logging_1861/klagomålsmail/A 13183-2023 FSC-klagomål mail.docx", "A 13183-2023")</f>
        <v/>
      </c>
      <c r="X30">
        <f>HYPERLINK("https://klasma.github.io/Logging_1861/tillsyn/A 13183-2023 tillsynsbegäran.docx", "A 13183-2023")</f>
        <v/>
      </c>
      <c r="Y30">
        <f>HYPERLINK("https://klasma.github.io/Logging_1861/tillsynsmail/A 13183-2023 tillsynsbegäran mail.docx", "A 13183-2023")</f>
        <v/>
      </c>
      <c r="Z30">
        <f>HYPERLINK("https://klasma.github.io/Logging_1861/fåglar/A 13183-2023 prioriterade fågelarter.docx", "A 13183-2023")</f>
        <v/>
      </c>
    </row>
    <row r="31" ht="15" customHeight="1">
      <c r="A31" t="inlineStr">
        <is>
          <t>A 1615-2023</t>
        </is>
      </c>
      <c r="B31" s="1" t="n">
        <v>44937</v>
      </c>
      <c r="C31" s="1" t="n">
        <v>46191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Hasselmus</t>
        </is>
      </c>
      <c r="S31">
        <f>HYPERLINK("https://klasma.github.io/Logging_1861/artfynd/A 1615-2023 artfynd.xlsx", "A 1615-2023")</f>
        <v/>
      </c>
      <c r="T31">
        <f>HYPERLINK("https://klasma.github.io/Logging_1861/kartor/A 1615-2023 karta.png", "A 1615-2023")</f>
        <v/>
      </c>
      <c r="V31">
        <f>HYPERLINK("https://klasma.github.io/Logging_1861/klagomål/A 1615-2023 FSC-klagomål.docx", "A 1615-2023")</f>
        <v/>
      </c>
      <c r="W31">
        <f>HYPERLINK("https://klasma.github.io/Logging_1861/klagomålsmail/A 1615-2023 FSC-klagomål mail.docx", "A 1615-2023")</f>
        <v/>
      </c>
      <c r="X31">
        <f>HYPERLINK("https://klasma.github.io/Logging_1861/tillsyn/A 1615-2023 tillsynsbegäran.docx", "A 1615-2023")</f>
        <v/>
      </c>
      <c r="Y31">
        <f>HYPERLINK("https://klasma.github.io/Logging_1861/tillsynsmail/A 1615-2023 tillsynsbegäran mail.docx", "A 1615-2023")</f>
        <v/>
      </c>
      <c r="Z31">
        <f>HYPERLINK("https://klasma.github.io/Logging_1861/fåglar/A 1615-2023 prioriterade fågelarter.docx", "A 1615-2023")</f>
        <v/>
      </c>
    </row>
    <row r="32" ht="15" customHeight="1">
      <c r="A32" t="inlineStr">
        <is>
          <t>A 41602-2022</t>
        </is>
      </c>
      <c r="B32" s="1" t="n">
        <v>44827</v>
      </c>
      <c r="C32" s="1" t="n">
        <v>46191</v>
      </c>
      <c r="D32" t="inlineStr">
        <is>
          <t>ÖREBRO LÄN</t>
        </is>
      </c>
      <c r="E32" t="inlineStr">
        <is>
          <t>HALLSBERG</t>
        </is>
      </c>
      <c r="F32" t="inlineStr">
        <is>
          <t>Kommuner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Hasselmus
Revlummer</t>
        </is>
      </c>
      <c r="S32">
        <f>HYPERLINK("https://klasma.github.io/Logging_1861/artfynd/A 41602-2022 artfynd.xlsx", "A 41602-2022")</f>
        <v/>
      </c>
      <c r="T32">
        <f>HYPERLINK("https://klasma.github.io/Logging_1861/kartor/A 41602-2022 karta.png", "A 41602-2022")</f>
        <v/>
      </c>
      <c r="V32">
        <f>HYPERLINK("https://klasma.github.io/Logging_1861/klagomål/A 41602-2022 FSC-klagomål.docx", "A 41602-2022")</f>
        <v/>
      </c>
      <c r="W32">
        <f>HYPERLINK("https://klasma.github.io/Logging_1861/klagomålsmail/A 41602-2022 FSC-klagomål mail.docx", "A 41602-2022")</f>
        <v/>
      </c>
      <c r="X32">
        <f>HYPERLINK("https://klasma.github.io/Logging_1861/tillsyn/A 41602-2022 tillsynsbegäran.docx", "A 41602-2022")</f>
        <v/>
      </c>
      <c r="Y32">
        <f>HYPERLINK("https://klasma.github.io/Logging_1861/tillsynsmail/A 41602-2022 tillsynsbegäran mail.docx", "A 41602-2022")</f>
        <v/>
      </c>
    </row>
    <row r="33" ht="15" customHeight="1">
      <c r="A33" t="inlineStr">
        <is>
          <t>A 13290-2026</t>
        </is>
      </c>
      <c r="B33" s="1" t="n">
        <v>46094</v>
      </c>
      <c r="C33" s="1" t="n">
        <v>46191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Vågbandad barkbock</t>
        </is>
      </c>
      <c r="S33">
        <f>HYPERLINK("https://klasma.github.io/Logging_1861/artfynd/A 13290-2026 artfynd.xlsx", "A 13290-2026")</f>
        <v/>
      </c>
      <c r="T33">
        <f>HYPERLINK("https://klasma.github.io/Logging_1861/kartor/A 13290-2026 karta.png", "A 13290-2026")</f>
        <v/>
      </c>
      <c r="V33">
        <f>HYPERLINK("https://klasma.github.io/Logging_1861/klagomål/A 13290-2026 FSC-klagomål.docx", "A 13290-2026")</f>
        <v/>
      </c>
      <c r="W33">
        <f>HYPERLINK("https://klasma.github.io/Logging_1861/klagomålsmail/A 13290-2026 FSC-klagomål mail.docx", "A 13290-2026")</f>
        <v/>
      </c>
      <c r="X33">
        <f>HYPERLINK("https://klasma.github.io/Logging_1861/tillsyn/A 13290-2026 tillsynsbegäran.docx", "A 13290-2026")</f>
        <v/>
      </c>
      <c r="Y33">
        <f>HYPERLINK("https://klasma.github.io/Logging_1861/tillsynsmail/A 13290-2026 tillsynsbegäran mail.docx", "A 13290-2026")</f>
        <v/>
      </c>
    </row>
    <row r="34" ht="15" customHeight="1">
      <c r="A34" t="inlineStr">
        <is>
          <t>A 30594-2022</t>
        </is>
      </c>
      <c r="B34" s="1" t="n">
        <v>44762</v>
      </c>
      <c r="C34" s="1" t="n">
        <v>46191</v>
      </c>
      <c r="D34" t="inlineStr">
        <is>
          <t>ÖREBRO LÄN</t>
        </is>
      </c>
      <c r="E34" t="inlineStr">
        <is>
          <t>HALLSBERG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Nattviol</t>
        </is>
      </c>
      <c r="S34">
        <f>HYPERLINK("https://klasma.github.io/Logging_1861/artfynd/A 30594-2022 artfynd.xlsx", "A 30594-2022")</f>
        <v/>
      </c>
      <c r="T34">
        <f>HYPERLINK("https://klasma.github.io/Logging_1861/kartor/A 30594-2022 karta.png", "A 30594-2022")</f>
        <v/>
      </c>
      <c r="V34">
        <f>HYPERLINK("https://klasma.github.io/Logging_1861/klagomål/A 30594-2022 FSC-klagomål.docx", "A 30594-2022")</f>
        <v/>
      </c>
      <c r="W34">
        <f>HYPERLINK("https://klasma.github.io/Logging_1861/klagomålsmail/A 30594-2022 FSC-klagomål mail.docx", "A 30594-2022")</f>
        <v/>
      </c>
      <c r="X34">
        <f>HYPERLINK("https://klasma.github.io/Logging_1861/tillsyn/A 30594-2022 tillsynsbegäran.docx", "A 30594-2022")</f>
        <v/>
      </c>
      <c r="Y34">
        <f>HYPERLINK("https://klasma.github.io/Logging_1861/tillsynsmail/A 30594-2022 tillsynsbegäran mail.docx", "A 30594-2022")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46191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  <c r="Z35">
        <f>HYPERLINK("https://klasma.github.io/Logging_1861/fåglar/A 39249-2022 prioriterade fågelarter.docx", "A 39249-2022")</f>
        <v/>
      </c>
    </row>
    <row r="36" ht="15" customHeight="1">
      <c r="A36" t="inlineStr">
        <is>
          <t>A 64813-2023</t>
        </is>
      </c>
      <c r="B36" s="1" t="n">
        <v>45282</v>
      </c>
      <c r="C36" s="1" t="n">
        <v>46191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Bronshjon</t>
        </is>
      </c>
      <c r="S36">
        <f>HYPERLINK("https://klasma.github.io/Logging_1861/artfynd/A 64813-2023 artfynd.xlsx", "A 64813-2023")</f>
        <v/>
      </c>
      <c r="T36">
        <f>HYPERLINK("https://klasma.github.io/Logging_1861/kartor/A 64813-2023 karta.png", "A 64813-2023")</f>
        <v/>
      </c>
      <c r="V36">
        <f>HYPERLINK("https://klasma.github.io/Logging_1861/klagomål/A 64813-2023 FSC-klagomål.docx", "A 64813-2023")</f>
        <v/>
      </c>
      <c r="W36">
        <f>HYPERLINK("https://klasma.github.io/Logging_1861/klagomålsmail/A 64813-2023 FSC-klagomål mail.docx", "A 64813-2023")</f>
        <v/>
      </c>
      <c r="X36">
        <f>HYPERLINK("https://klasma.github.io/Logging_1861/tillsyn/A 64813-2023 tillsynsbegäran.docx", "A 64813-2023")</f>
        <v/>
      </c>
      <c r="Y36">
        <f>HYPERLINK("https://klasma.github.io/Logging_1861/tillsynsmail/A 64813-2023 tillsynsbegäran mail.docx", "A 64813-2023")</f>
        <v/>
      </c>
    </row>
    <row r="37" ht="15" customHeight="1">
      <c r="A37" t="inlineStr">
        <is>
          <t>A 20942-2026</t>
        </is>
      </c>
      <c r="B37" s="1" t="n">
        <v>46142</v>
      </c>
      <c r="C37" s="1" t="n">
        <v>46191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10.8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Terpentinmossa
Tvåblad</t>
        </is>
      </c>
      <c r="S37">
        <f>HYPERLINK("https://klasma.github.io/Logging_1861/artfynd/A 20942-2026 artfynd.xlsx", "A 20942-2026")</f>
        <v/>
      </c>
      <c r="T37">
        <f>HYPERLINK("https://klasma.github.io/Logging_1861/kartor/A 20942-2026 karta.png", "A 20942-2026")</f>
        <v/>
      </c>
      <c r="V37">
        <f>HYPERLINK("https://klasma.github.io/Logging_1861/klagomål/A 20942-2026 FSC-klagomål.docx", "A 20942-2026")</f>
        <v/>
      </c>
      <c r="W37">
        <f>HYPERLINK("https://klasma.github.io/Logging_1861/klagomålsmail/A 20942-2026 FSC-klagomål mail.docx", "A 20942-2026")</f>
        <v/>
      </c>
      <c r="X37">
        <f>HYPERLINK("https://klasma.github.io/Logging_1861/tillsyn/A 20942-2026 tillsynsbegäran.docx", "A 20942-2026")</f>
        <v/>
      </c>
      <c r="Y37">
        <f>HYPERLINK("https://klasma.github.io/Logging_1861/tillsynsmail/A 20942-2026 tillsynsbegäran mail.docx", "A 20942-2026")</f>
        <v/>
      </c>
    </row>
    <row r="38" ht="15" customHeight="1">
      <c r="A38" t="inlineStr">
        <is>
          <t>A 14619-2024</t>
        </is>
      </c>
      <c r="B38" s="1" t="n">
        <v>45397</v>
      </c>
      <c r="C38" s="1" t="n">
        <v>46191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46452-2023</t>
        </is>
      </c>
      <c r="B39" s="1" t="n">
        <v>45197</v>
      </c>
      <c r="C39" s="1" t="n">
        <v>46191</v>
      </c>
      <c r="D39" t="inlineStr">
        <is>
          <t>ÖREBRO LÄN</t>
        </is>
      </c>
      <c r="E39" t="inlineStr">
        <is>
          <t>HALLSBERG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Blåsippa</t>
        </is>
      </c>
      <c r="S39">
        <f>HYPERLINK("https://klasma.github.io/Logging_1861/artfynd/A 46452-2023 artfynd.xlsx", "A 46452-2023")</f>
        <v/>
      </c>
      <c r="T39">
        <f>HYPERLINK("https://klasma.github.io/Logging_1861/kartor/A 46452-2023 karta.png", "A 46452-2023")</f>
        <v/>
      </c>
      <c r="V39">
        <f>HYPERLINK("https://klasma.github.io/Logging_1861/klagomål/A 46452-2023 FSC-klagomål.docx", "A 46452-2023")</f>
        <v/>
      </c>
      <c r="W39">
        <f>HYPERLINK("https://klasma.github.io/Logging_1861/klagomålsmail/A 46452-2023 FSC-klagomål mail.docx", "A 46452-2023")</f>
        <v/>
      </c>
      <c r="X39">
        <f>HYPERLINK("https://klasma.github.io/Logging_1861/tillsyn/A 46452-2023 tillsynsbegäran.docx", "A 46452-2023")</f>
        <v/>
      </c>
      <c r="Y39">
        <f>HYPERLINK("https://klasma.github.io/Logging_1861/tillsynsmail/A 46452-2023 tillsynsbegäran mail.docx", "A 46452-2023")</f>
        <v/>
      </c>
      <c r="Z39">
        <f>HYPERLINK("https://klasma.github.io/Logging_1861/fåglar/A 46452-2023 prioriterade fågelarter.docx", "A 46452-2023")</f>
        <v/>
      </c>
    </row>
    <row r="40" ht="15" customHeight="1">
      <c r="A40" t="inlineStr">
        <is>
          <t>A 41410-2021</t>
        </is>
      </c>
      <c r="B40" s="1" t="n">
        <v>44424</v>
      </c>
      <c r="C40" s="1" t="n">
        <v>46191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Västlig hakmossa</t>
        </is>
      </c>
      <c r="S40">
        <f>HYPERLINK("https://klasma.github.io/Logging_1861/artfynd/A 41410-2021 artfynd.xlsx", "A 41410-2021")</f>
        <v/>
      </c>
      <c r="T40">
        <f>HYPERLINK("https://klasma.github.io/Logging_1861/kartor/A 41410-2021 karta.png", "A 41410-2021")</f>
        <v/>
      </c>
      <c r="V40">
        <f>HYPERLINK("https://klasma.github.io/Logging_1861/klagomål/A 41410-2021 FSC-klagomål.docx", "A 41410-2021")</f>
        <v/>
      </c>
      <c r="W40">
        <f>HYPERLINK("https://klasma.github.io/Logging_1861/klagomålsmail/A 41410-2021 FSC-klagomål mail.docx", "A 41410-2021")</f>
        <v/>
      </c>
      <c r="X40">
        <f>HYPERLINK("https://klasma.github.io/Logging_1861/tillsyn/A 41410-2021 tillsynsbegäran.docx", "A 41410-2021")</f>
        <v/>
      </c>
      <c r="Y40">
        <f>HYPERLINK("https://klasma.github.io/Logging_1861/tillsynsmail/A 41410-2021 tillsynsbegäran mail.docx", "A 41410-2021")</f>
        <v/>
      </c>
    </row>
    <row r="41" ht="15" customHeight="1">
      <c r="A41" t="inlineStr">
        <is>
          <t>A 31747-2022</t>
        </is>
      </c>
      <c r="B41" s="1" t="n">
        <v>44776</v>
      </c>
      <c r="C41" s="1" t="n">
        <v>46191</v>
      </c>
      <c r="D41" t="inlineStr">
        <is>
          <t>ÖREBRO LÄN</t>
        </is>
      </c>
      <c r="E41" t="inlineStr">
        <is>
          <t>HALLSBERG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Fläcknycklar</t>
        </is>
      </c>
      <c r="S41">
        <f>HYPERLINK("https://klasma.github.io/Logging_1861/artfynd/A 31747-2022 artfynd.xlsx", "A 31747-2022")</f>
        <v/>
      </c>
      <c r="T41">
        <f>HYPERLINK("https://klasma.github.io/Logging_1861/kartor/A 31747-2022 karta.png", "A 31747-2022")</f>
        <v/>
      </c>
      <c r="V41">
        <f>HYPERLINK("https://klasma.github.io/Logging_1861/klagomål/A 31747-2022 FSC-klagomål.docx", "A 31747-2022")</f>
        <v/>
      </c>
      <c r="W41">
        <f>HYPERLINK("https://klasma.github.io/Logging_1861/klagomålsmail/A 31747-2022 FSC-klagomål mail.docx", "A 31747-2022")</f>
        <v/>
      </c>
      <c r="X41">
        <f>HYPERLINK("https://klasma.github.io/Logging_1861/tillsyn/A 31747-2022 tillsynsbegäran.docx", "A 31747-2022")</f>
        <v/>
      </c>
      <c r="Y41">
        <f>HYPERLINK("https://klasma.github.io/Logging_1861/tillsynsmail/A 31747-2022 tillsynsbegäran mail.docx", "A 31747-2022")</f>
        <v/>
      </c>
      <c r="Z41">
        <f>HYPERLINK("https://klasma.github.io/Logging_1861/fåglar/A 31747-2022 prioriterade fågelarter.docx", "A 31747-2022")</f>
        <v/>
      </c>
    </row>
    <row r="42" ht="15" customHeight="1">
      <c r="A42" t="inlineStr">
        <is>
          <t>A 14064-2024</t>
        </is>
      </c>
      <c r="B42" s="1" t="n">
        <v>45392</v>
      </c>
      <c r="C42" s="1" t="n">
        <v>46191</v>
      </c>
      <c r="D42" t="inlineStr">
        <is>
          <t>ÖREBRO LÄN</t>
        </is>
      </c>
      <c r="E42" t="inlineStr">
        <is>
          <t>HALLSBERG</t>
        </is>
      </c>
      <c r="G42" t="n">
        <v>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Mattlummer</t>
        </is>
      </c>
      <c r="S42">
        <f>HYPERLINK("https://klasma.github.io/Logging_1861/artfynd/A 14064-2024 artfynd.xlsx", "A 14064-2024")</f>
        <v/>
      </c>
      <c r="T42">
        <f>HYPERLINK("https://klasma.github.io/Logging_1861/kartor/A 14064-2024 karta.png", "A 14064-2024")</f>
        <v/>
      </c>
      <c r="V42">
        <f>HYPERLINK("https://klasma.github.io/Logging_1861/klagomål/A 14064-2024 FSC-klagomål.docx", "A 14064-2024")</f>
        <v/>
      </c>
      <c r="W42">
        <f>HYPERLINK("https://klasma.github.io/Logging_1861/klagomålsmail/A 14064-2024 FSC-klagomål mail.docx", "A 14064-2024")</f>
        <v/>
      </c>
      <c r="X42">
        <f>HYPERLINK("https://klasma.github.io/Logging_1861/tillsyn/A 14064-2024 tillsynsbegäran.docx", "A 14064-2024")</f>
        <v/>
      </c>
      <c r="Y42">
        <f>HYPERLINK("https://klasma.github.io/Logging_1861/tillsynsmail/A 14064-2024 tillsynsbegäran mail.docx", "A 14064-2024")</f>
        <v/>
      </c>
    </row>
    <row r="43" ht="15" customHeight="1">
      <c r="A43" t="inlineStr">
        <is>
          <t>A 31483-2021</t>
        </is>
      </c>
      <c r="B43" s="1" t="n">
        <v>44369</v>
      </c>
      <c r="C43" s="1" t="n">
        <v>46191</v>
      </c>
      <c r="D43" t="inlineStr">
        <is>
          <t>ÖREBRO LÄN</t>
        </is>
      </c>
      <c r="E43" t="inlineStr">
        <is>
          <t>HALLSBERG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31483-2021 artfynd.xlsx", "A 31483-2021")</f>
        <v/>
      </c>
      <c r="T43">
        <f>HYPERLINK("https://klasma.github.io/Logging_1861/kartor/A 31483-2021 karta.png", "A 31483-2021")</f>
        <v/>
      </c>
      <c r="V43">
        <f>HYPERLINK("https://klasma.github.io/Logging_1861/klagomål/A 31483-2021 FSC-klagomål.docx", "A 31483-2021")</f>
        <v/>
      </c>
      <c r="W43">
        <f>HYPERLINK("https://klasma.github.io/Logging_1861/klagomålsmail/A 31483-2021 FSC-klagomål mail.docx", "A 31483-2021")</f>
        <v/>
      </c>
      <c r="X43">
        <f>HYPERLINK("https://klasma.github.io/Logging_1861/tillsyn/A 31483-2021 tillsynsbegäran.docx", "A 31483-2021")</f>
        <v/>
      </c>
      <c r="Y43">
        <f>HYPERLINK("https://klasma.github.io/Logging_1861/tillsynsmail/A 31483-2021 tillsynsbegäran mail.docx", "A 31483-2021")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46191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56068-2021</t>
        </is>
      </c>
      <c r="B45" s="1" t="n">
        <v>44477</v>
      </c>
      <c r="C45" s="1" t="n">
        <v>46191</v>
      </c>
      <c r="D45" t="inlineStr">
        <is>
          <t>ÖREBRO LÄN</t>
        </is>
      </c>
      <c r="E45" t="inlineStr">
        <is>
          <t>HALLSBERG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HYPERLINK("https://klasma.github.io/Logging_1861/artfynd/A 56068-2021 artfynd.xlsx", "A 56068-2021")</f>
        <v/>
      </c>
      <c r="T45">
        <f>HYPERLINK("https://klasma.github.io/Logging_1861/kartor/A 56068-2021 karta.png", "A 56068-2021")</f>
        <v/>
      </c>
      <c r="V45">
        <f>HYPERLINK("https://klasma.github.io/Logging_1861/klagomål/A 56068-2021 FSC-klagomål.docx", "A 56068-2021")</f>
        <v/>
      </c>
      <c r="W45">
        <f>HYPERLINK("https://klasma.github.io/Logging_1861/klagomålsmail/A 56068-2021 FSC-klagomål mail.docx", "A 56068-2021")</f>
        <v/>
      </c>
      <c r="X45">
        <f>HYPERLINK("https://klasma.github.io/Logging_1861/tillsyn/A 56068-2021 tillsynsbegäran.docx", "A 56068-2021")</f>
        <v/>
      </c>
      <c r="Y45">
        <f>HYPERLINK("https://klasma.github.io/Logging_1861/tillsynsmail/A 56068-2021 tillsynsbegäran mail.docx", "A 56068-2021")</f>
        <v/>
      </c>
    </row>
    <row r="46" ht="15" customHeight="1">
      <c r="A46" t="inlineStr">
        <is>
          <t>A 9426-2022</t>
        </is>
      </c>
      <c r="B46" s="1" t="n">
        <v>44616</v>
      </c>
      <c r="C46" s="1" t="n">
        <v>46191</v>
      </c>
      <c r="D46" t="inlineStr">
        <is>
          <t>ÖREBRO LÄN</t>
        </is>
      </c>
      <c r="E46" t="inlineStr">
        <is>
          <t>HALLSBERG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9426-2022 artfynd.xlsx", "A 9426-2022")</f>
        <v/>
      </c>
      <c r="T46">
        <f>HYPERLINK("https://klasma.github.io/Logging_1861/kartor/A 9426-2022 karta.png", "A 9426-2022")</f>
        <v/>
      </c>
      <c r="V46">
        <f>HYPERLINK("https://klasma.github.io/Logging_1861/klagomål/A 9426-2022 FSC-klagomål.docx", "A 9426-2022")</f>
        <v/>
      </c>
      <c r="W46">
        <f>HYPERLINK("https://klasma.github.io/Logging_1861/klagomålsmail/A 9426-2022 FSC-klagomål mail.docx", "A 9426-2022")</f>
        <v/>
      </c>
      <c r="X46">
        <f>HYPERLINK("https://klasma.github.io/Logging_1861/tillsyn/A 9426-2022 tillsynsbegäran.docx", "A 9426-2022")</f>
        <v/>
      </c>
      <c r="Y46">
        <f>HYPERLINK("https://klasma.github.io/Logging_1861/tillsynsmail/A 9426-2022 tillsynsbegäran mail.docx", "A 9426-2022")</f>
        <v/>
      </c>
      <c r="Z46">
        <f>HYPERLINK("https://klasma.github.io/Logging_1861/fåglar/A 9426-2022 prioriterade fågelarter.docx", "A 9426-2022")</f>
        <v/>
      </c>
    </row>
    <row r="47" ht="15" customHeight="1">
      <c r="A47" t="inlineStr">
        <is>
          <t>A 17017-2023</t>
        </is>
      </c>
      <c r="B47" s="1" t="n">
        <v>45034</v>
      </c>
      <c r="C47" s="1" t="n">
        <v>46191</v>
      </c>
      <c r="D47" t="inlineStr">
        <is>
          <t>ÖREBRO LÄN</t>
        </is>
      </c>
      <c r="E47" t="inlineStr">
        <is>
          <t>HALLSBERG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HYPERLINK("https://klasma.github.io/Logging_1861/artfynd/A 17017-2023 artfynd.xlsx", "A 17017-2023")</f>
        <v/>
      </c>
      <c r="T47">
        <f>HYPERLINK("https://klasma.github.io/Logging_1861/kartor/A 17017-2023 karta.png", "A 17017-2023")</f>
        <v/>
      </c>
      <c r="V47">
        <f>HYPERLINK("https://klasma.github.io/Logging_1861/klagomål/A 17017-2023 FSC-klagomål.docx", "A 17017-2023")</f>
        <v/>
      </c>
      <c r="W47">
        <f>HYPERLINK("https://klasma.github.io/Logging_1861/klagomålsmail/A 17017-2023 FSC-klagomål mail.docx", "A 17017-2023")</f>
        <v/>
      </c>
      <c r="X47">
        <f>HYPERLINK("https://klasma.github.io/Logging_1861/tillsyn/A 17017-2023 tillsynsbegäran.docx", "A 17017-2023")</f>
        <v/>
      </c>
      <c r="Y47">
        <f>HYPERLINK("https://klasma.github.io/Logging_1861/tillsynsmail/A 17017-2023 tillsynsbegäran mail.docx", "A 17017-2023")</f>
        <v/>
      </c>
    </row>
    <row r="48" ht="15" customHeight="1">
      <c r="A48" t="inlineStr">
        <is>
          <t>A 32547-2024</t>
        </is>
      </c>
      <c r="B48" s="1" t="n">
        <v>45513</v>
      </c>
      <c r="C48" s="1" t="n">
        <v>46191</v>
      </c>
      <c r="D48" t="inlineStr">
        <is>
          <t>ÖREBRO LÄN</t>
        </is>
      </c>
      <c r="E48" t="inlineStr">
        <is>
          <t>HALLSBERG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HYPERLINK("https://klasma.github.io/Logging_1861/artfynd/A 32547-2024 artfynd.xlsx", "A 32547-2024")</f>
        <v/>
      </c>
      <c r="T48">
        <f>HYPERLINK("https://klasma.github.io/Logging_1861/kartor/A 32547-2024 karta.png", "A 32547-2024")</f>
        <v/>
      </c>
      <c r="V48">
        <f>HYPERLINK("https://klasma.github.io/Logging_1861/klagomål/A 32547-2024 FSC-klagomål.docx", "A 32547-2024")</f>
        <v/>
      </c>
      <c r="W48">
        <f>HYPERLINK("https://klasma.github.io/Logging_1861/klagomålsmail/A 32547-2024 FSC-klagomål mail.docx", "A 32547-2024")</f>
        <v/>
      </c>
      <c r="X48">
        <f>HYPERLINK("https://klasma.github.io/Logging_1861/tillsyn/A 32547-2024 tillsynsbegäran.docx", "A 32547-2024")</f>
        <v/>
      </c>
      <c r="Y48">
        <f>HYPERLINK("https://klasma.github.io/Logging_1861/tillsynsmail/A 32547-2024 tillsynsbegäran mail.docx", "A 32547-2024")</f>
        <v/>
      </c>
    </row>
    <row r="49" ht="15" customHeight="1">
      <c r="A49" t="inlineStr">
        <is>
          <t>A 3037-2026</t>
        </is>
      </c>
      <c r="B49" s="1" t="n">
        <v>46038</v>
      </c>
      <c r="C49" s="1" t="n">
        <v>46191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3037-2026 artfynd.xlsx", "A 3037-2026")</f>
        <v/>
      </c>
      <c r="T49">
        <f>HYPERLINK("https://klasma.github.io/Logging_1861/kartor/A 3037-2026 karta.png", "A 3037-2026")</f>
        <v/>
      </c>
      <c r="V49">
        <f>HYPERLINK("https://klasma.github.io/Logging_1861/klagomål/A 3037-2026 FSC-klagomål.docx", "A 3037-2026")</f>
        <v/>
      </c>
      <c r="W49">
        <f>HYPERLINK("https://klasma.github.io/Logging_1861/klagomålsmail/A 3037-2026 FSC-klagomål mail.docx", "A 3037-2026")</f>
        <v/>
      </c>
      <c r="X49">
        <f>HYPERLINK("https://klasma.github.io/Logging_1861/tillsyn/A 3037-2026 tillsynsbegäran.docx", "A 3037-2026")</f>
        <v/>
      </c>
      <c r="Y49">
        <f>HYPERLINK("https://klasma.github.io/Logging_1861/tillsynsmail/A 3037-2026 tillsynsbegäran mail.docx", "A 3037-2026")</f>
        <v/>
      </c>
    </row>
    <row r="50" ht="15" customHeight="1">
      <c r="A50" t="inlineStr">
        <is>
          <t>A 40071-2025</t>
        </is>
      </c>
      <c r="B50" s="1" t="n">
        <v>45894</v>
      </c>
      <c r="C50" s="1" t="n">
        <v>46191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HYPERLINK("https://klasma.github.io/Logging_1861/artfynd/A 40071-2025 artfynd.xlsx", "A 40071-2025")</f>
        <v/>
      </c>
      <c r="T50">
        <f>HYPERLINK("https://klasma.github.io/Logging_1861/kartor/A 40071-2025 karta.png", "A 40071-2025")</f>
        <v/>
      </c>
      <c r="V50">
        <f>HYPERLINK("https://klasma.github.io/Logging_1861/klagomål/A 40071-2025 FSC-klagomål.docx", "A 40071-2025")</f>
        <v/>
      </c>
      <c r="W50">
        <f>HYPERLINK("https://klasma.github.io/Logging_1861/klagomålsmail/A 40071-2025 FSC-klagomål mail.docx", "A 40071-2025")</f>
        <v/>
      </c>
      <c r="X50">
        <f>HYPERLINK("https://klasma.github.io/Logging_1861/tillsyn/A 40071-2025 tillsynsbegäran.docx", "A 40071-2025")</f>
        <v/>
      </c>
      <c r="Y50">
        <f>HYPERLINK("https://klasma.github.io/Logging_1861/tillsynsmail/A 40071-2025 tillsynsbegäran mail.docx", "A 40071-2025")</f>
        <v/>
      </c>
    </row>
    <row r="51" ht="15" customHeight="1">
      <c r="A51" t="inlineStr">
        <is>
          <t>A 41807-2025</t>
        </is>
      </c>
      <c r="B51" s="1" t="n">
        <v>45902</v>
      </c>
      <c r="C51" s="1" t="n">
        <v>46191</v>
      </c>
      <c r="D51" t="inlineStr">
        <is>
          <t>ÖREBRO LÄN</t>
        </is>
      </c>
      <c r="E51" t="inlineStr">
        <is>
          <t>HALLSBERG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HYPERLINK("https://klasma.github.io/Logging_1861/artfynd/A 41807-2025 artfynd.xlsx", "A 41807-2025")</f>
        <v/>
      </c>
      <c r="T51">
        <f>HYPERLINK("https://klasma.github.io/Logging_1861/kartor/A 41807-2025 karta.png", "A 41807-2025")</f>
        <v/>
      </c>
      <c r="V51">
        <f>HYPERLINK("https://klasma.github.io/Logging_1861/klagomål/A 41807-2025 FSC-klagomål.docx", "A 41807-2025")</f>
        <v/>
      </c>
      <c r="W51">
        <f>HYPERLINK("https://klasma.github.io/Logging_1861/klagomålsmail/A 41807-2025 FSC-klagomål mail.docx", "A 41807-2025")</f>
        <v/>
      </c>
      <c r="X51">
        <f>HYPERLINK("https://klasma.github.io/Logging_1861/tillsyn/A 41807-2025 tillsynsbegäran.docx", "A 41807-2025")</f>
        <v/>
      </c>
      <c r="Y51">
        <f>HYPERLINK("https://klasma.github.io/Logging_1861/tillsynsmail/A 41807-2025 tillsynsbegäran mail.docx", "A 41807-2025")</f>
        <v/>
      </c>
      <c r="Z51">
        <f>HYPERLINK("https://klasma.github.io/Logging_1861/fåglar/A 41807-2025 prioriterade fågelarter.docx", "A 41807-2025")</f>
        <v/>
      </c>
    </row>
    <row r="52" ht="15" customHeight="1">
      <c r="A52" t="inlineStr">
        <is>
          <t>A 43380-2025</t>
        </is>
      </c>
      <c r="B52" s="1" t="n">
        <v>45911</v>
      </c>
      <c r="C52" s="1" t="n">
        <v>46191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HYPERLINK("https://klasma.github.io/Logging_1861/artfynd/A 43380-2025 artfynd.xlsx", "A 43380-2025")</f>
        <v/>
      </c>
      <c r="T52">
        <f>HYPERLINK("https://klasma.github.io/Logging_1861/kartor/A 43380-2025 karta.png", "A 43380-2025")</f>
        <v/>
      </c>
      <c r="V52">
        <f>HYPERLINK("https://klasma.github.io/Logging_1861/klagomål/A 43380-2025 FSC-klagomål.docx", "A 43380-2025")</f>
        <v/>
      </c>
      <c r="W52">
        <f>HYPERLINK("https://klasma.github.io/Logging_1861/klagomålsmail/A 43380-2025 FSC-klagomål mail.docx", "A 43380-2025")</f>
        <v/>
      </c>
      <c r="X52">
        <f>HYPERLINK("https://klasma.github.io/Logging_1861/tillsyn/A 43380-2025 tillsynsbegäran.docx", "A 43380-2025")</f>
        <v/>
      </c>
      <c r="Y52">
        <f>HYPERLINK("https://klasma.github.io/Logging_1861/tillsynsmail/A 43380-2025 tillsynsbegäran mail.docx", "A 43380-2025")</f>
        <v/>
      </c>
      <c r="Z52">
        <f>HYPERLINK("https://klasma.github.io/Logging_1861/fåglar/A 43380-2025 prioriterade fågelarter.docx", "A 43380-2025")</f>
        <v/>
      </c>
    </row>
    <row r="53" ht="15" customHeight="1">
      <c r="A53" t="inlineStr">
        <is>
          <t>A 7989-2026</t>
        </is>
      </c>
      <c r="B53" s="1" t="n">
        <v>46063</v>
      </c>
      <c r="C53" s="1" t="n">
        <v>46191</v>
      </c>
      <c r="D53" t="inlineStr">
        <is>
          <t>ÖREBRO LÄN</t>
        </is>
      </c>
      <c r="E53" t="inlineStr">
        <is>
          <t>HALLSBERG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Scharlakansskål</t>
        </is>
      </c>
      <c r="S53">
        <f>HYPERLINK("https://klasma.github.io/Logging_1861/artfynd/A 7989-2026 artfynd.xlsx", "A 7989-2026")</f>
        <v/>
      </c>
      <c r="T53">
        <f>HYPERLINK("https://klasma.github.io/Logging_1861/kartor/A 7989-2026 karta.png", "A 7989-2026")</f>
        <v/>
      </c>
      <c r="V53">
        <f>HYPERLINK("https://klasma.github.io/Logging_1861/klagomål/A 7989-2026 FSC-klagomål.docx", "A 7989-2026")</f>
        <v/>
      </c>
      <c r="W53">
        <f>HYPERLINK("https://klasma.github.io/Logging_1861/klagomålsmail/A 7989-2026 FSC-klagomål mail.docx", "A 7989-2026")</f>
        <v/>
      </c>
      <c r="X53">
        <f>HYPERLINK("https://klasma.github.io/Logging_1861/tillsyn/A 7989-2026 tillsynsbegäran.docx", "A 7989-2026")</f>
        <v/>
      </c>
      <c r="Y53">
        <f>HYPERLINK("https://klasma.github.io/Logging_1861/tillsynsmail/A 7989-2026 tillsynsbegäran mail.docx", "A 7989-2026")</f>
        <v/>
      </c>
    </row>
    <row r="54" ht="15" customHeight="1">
      <c r="A54" t="inlineStr">
        <is>
          <t>A 12784-2026</t>
        </is>
      </c>
      <c r="B54" s="1" t="n">
        <v>46091</v>
      </c>
      <c r="C54" s="1" t="n">
        <v>46191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Dolkstekelsglasvinge</t>
        </is>
      </c>
      <c r="S54">
        <f>HYPERLINK("https://klasma.github.io/Logging_1861/artfynd/A 12784-2026 artfynd.xlsx", "A 12784-2026")</f>
        <v/>
      </c>
      <c r="T54">
        <f>HYPERLINK("https://klasma.github.io/Logging_1861/kartor/A 12784-2026 karta.png", "A 12784-2026")</f>
        <v/>
      </c>
      <c r="V54">
        <f>HYPERLINK("https://klasma.github.io/Logging_1861/klagomål/A 12784-2026 FSC-klagomål.docx", "A 12784-2026")</f>
        <v/>
      </c>
      <c r="W54">
        <f>HYPERLINK("https://klasma.github.io/Logging_1861/klagomålsmail/A 12784-2026 FSC-klagomål mail.docx", "A 12784-2026")</f>
        <v/>
      </c>
      <c r="X54">
        <f>HYPERLINK("https://klasma.github.io/Logging_1861/tillsyn/A 12784-2026 tillsynsbegäran.docx", "A 12784-2026")</f>
        <v/>
      </c>
      <c r="Y54">
        <f>HYPERLINK("https://klasma.github.io/Logging_1861/tillsynsmail/A 12784-2026 tillsynsbegäran mail.docx", "A 12784-2026")</f>
        <v/>
      </c>
    </row>
    <row r="55" ht="15" customHeight="1">
      <c r="A55" t="inlineStr">
        <is>
          <t>A 51922-2025</t>
        </is>
      </c>
      <c r="B55" s="1" t="n">
        <v>45952</v>
      </c>
      <c r="C55" s="1" t="n">
        <v>46191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HYPERLINK("https://klasma.github.io/Logging_1861/artfynd/A 51922-2025 artfynd.xlsx", "A 51922-2025")</f>
        <v/>
      </c>
      <c r="T55">
        <f>HYPERLINK("https://klasma.github.io/Logging_1861/kartor/A 51922-2025 karta.png", "A 51922-2025")</f>
        <v/>
      </c>
      <c r="V55">
        <f>HYPERLINK("https://klasma.github.io/Logging_1861/klagomål/A 51922-2025 FSC-klagomål.docx", "A 51922-2025")</f>
        <v/>
      </c>
      <c r="W55">
        <f>HYPERLINK("https://klasma.github.io/Logging_1861/klagomålsmail/A 51922-2025 FSC-klagomål mail.docx", "A 51922-2025")</f>
        <v/>
      </c>
      <c r="X55">
        <f>HYPERLINK("https://klasma.github.io/Logging_1861/tillsyn/A 51922-2025 tillsynsbegäran.docx", "A 51922-2025")</f>
        <v/>
      </c>
      <c r="Y55">
        <f>HYPERLINK("https://klasma.github.io/Logging_1861/tillsynsmail/A 51922-2025 tillsynsbegäran mail.docx", "A 51922-2025")</f>
        <v/>
      </c>
    </row>
    <row r="56" ht="15" customHeight="1">
      <c r="A56" t="inlineStr">
        <is>
          <t>A 2694-2024</t>
        </is>
      </c>
      <c r="B56" s="1" t="n">
        <v>45314</v>
      </c>
      <c r="C56" s="1" t="n">
        <v>46191</v>
      </c>
      <c r="D56" t="inlineStr">
        <is>
          <t>ÖREBRO LÄN</t>
        </is>
      </c>
      <c r="E56" t="inlineStr">
        <is>
          <t>HALLSBERG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HYPERLINK("https://klasma.github.io/Logging_1861/artfynd/A 2694-2024 artfynd.xlsx", "A 2694-2024")</f>
        <v/>
      </c>
      <c r="T56">
        <f>HYPERLINK("https://klasma.github.io/Logging_1861/kartor/A 2694-2024 karta.png", "A 2694-2024")</f>
        <v/>
      </c>
      <c r="V56">
        <f>HYPERLINK("https://klasma.github.io/Logging_1861/klagomål/A 2694-2024 FSC-klagomål.docx", "A 2694-2024")</f>
        <v/>
      </c>
      <c r="W56">
        <f>HYPERLINK("https://klasma.github.io/Logging_1861/klagomålsmail/A 2694-2024 FSC-klagomål mail.docx", "A 2694-2024")</f>
        <v/>
      </c>
      <c r="X56">
        <f>HYPERLINK("https://klasma.github.io/Logging_1861/tillsyn/A 2694-2024 tillsynsbegäran.docx", "A 2694-2024")</f>
        <v/>
      </c>
      <c r="Y56">
        <f>HYPERLINK("https://klasma.github.io/Logging_1861/tillsynsmail/A 2694-2024 tillsynsbegäran mail.docx", "A 2694-2024")</f>
        <v/>
      </c>
    </row>
    <row r="57" ht="15" customHeight="1">
      <c r="A57" t="inlineStr">
        <is>
          <t>A 55115-2022</t>
        </is>
      </c>
      <c r="B57" s="1" t="n">
        <v>44886</v>
      </c>
      <c r="C57" s="1" t="n">
        <v>46191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HYPERLINK("https://klasma.github.io/Logging_1861/artfynd/A 55115-2022 artfynd.xlsx", "A 55115-2022")</f>
        <v/>
      </c>
      <c r="T57">
        <f>HYPERLINK("https://klasma.github.io/Logging_1861/kartor/A 55115-2022 karta.png", "A 55115-2022")</f>
        <v/>
      </c>
      <c r="V57">
        <f>HYPERLINK("https://klasma.github.io/Logging_1861/klagomål/A 55115-2022 FSC-klagomål.docx", "A 55115-2022")</f>
        <v/>
      </c>
      <c r="W57">
        <f>HYPERLINK("https://klasma.github.io/Logging_1861/klagomålsmail/A 55115-2022 FSC-klagomål mail.docx", "A 55115-2022")</f>
        <v/>
      </c>
      <c r="X57">
        <f>HYPERLINK("https://klasma.github.io/Logging_1861/tillsyn/A 55115-2022 tillsynsbegäran.docx", "A 55115-2022")</f>
        <v/>
      </c>
      <c r="Y57">
        <f>HYPERLINK("https://klasma.github.io/Logging_1861/tillsynsmail/A 55115-2022 tillsynsbegäran mail.docx", "A 55115-2022")</f>
        <v/>
      </c>
    </row>
    <row r="58" ht="15" customHeight="1">
      <c r="A58" t="inlineStr">
        <is>
          <t>A 58765-2025</t>
        </is>
      </c>
      <c r="B58" s="1" t="n">
        <v>45986</v>
      </c>
      <c r="C58" s="1" t="n">
        <v>46191</v>
      </c>
      <c r="D58" t="inlineStr">
        <is>
          <t>ÖREBRO LÄN</t>
        </is>
      </c>
      <c r="E58" t="inlineStr">
        <is>
          <t>HALLSBERG</t>
        </is>
      </c>
      <c r="F58" t="inlineStr">
        <is>
          <t>Allmännings- och besparingsskogar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HYPERLINK("https://klasma.github.io/Logging_1861/artfynd/A 58765-2025 artfynd.xlsx", "A 58765-2025")</f>
        <v/>
      </c>
      <c r="T58">
        <f>HYPERLINK("https://klasma.github.io/Logging_1861/kartor/A 58765-2025 karta.png", "A 58765-2025")</f>
        <v/>
      </c>
      <c r="V58">
        <f>HYPERLINK("https://klasma.github.io/Logging_1861/klagomål/A 58765-2025 FSC-klagomål.docx", "A 58765-2025")</f>
        <v/>
      </c>
      <c r="W58">
        <f>HYPERLINK("https://klasma.github.io/Logging_1861/klagomålsmail/A 58765-2025 FSC-klagomål mail.docx", "A 58765-2025")</f>
        <v/>
      </c>
      <c r="X58">
        <f>HYPERLINK("https://klasma.github.io/Logging_1861/tillsyn/A 58765-2025 tillsynsbegäran.docx", "A 58765-2025")</f>
        <v/>
      </c>
      <c r="Y58">
        <f>HYPERLINK("https://klasma.github.io/Logging_1861/tillsynsmail/A 58765-2025 tillsynsbegäran mail.docx", "A 58765-2025")</f>
        <v/>
      </c>
    </row>
    <row r="59" ht="15" customHeight="1">
      <c r="A59" t="inlineStr">
        <is>
          <t>A 14456-2023</t>
        </is>
      </c>
      <c r="B59" s="1" t="n">
        <v>45012</v>
      </c>
      <c r="C59" s="1" t="n">
        <v>46191</v>
      </c>
      <c r="D59" t="inlineStr">
        <is>
          <t>ÖREBRO LÄN</t>
        </is>
      </c>
      <c r="E59" t="inlineStr">
        <is>
          <t>HALLSBERG</t>
        </is>
      </c>
      <c r="G59" t="n">
        <v>4.4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HYPERLINK("https://klasma.github.io/Logging_1861/artfynd/A 14456-2023 artfynd.xlsx", "A 14456-2023")</f>
        <v/>
      </c>
      <c r="T59">
        <f>HYPERLINK("https://klasma.github.io/Logging_1861/kartor/A 14456-2023 karta.png", "A 14456-2023")</f>
        <v/>
      </c>
      <c r="V59">
        <f>HYPERLINK("https://klasma.github.io/Logging_1861/klagomål/A 14456-2023 FSC-klagomål.docx", "A 14456-2023")</f>
        <v/>
      </c>
      <c r="W59">
        <f>HYPERLINK("https://klasma.github.io/Logging_1861/klagomålsmail/A 14456-2023 FSC-klagomål mail.docx", "A 14456-2023")</f>
        <v/>
      </c>
      <c r="X59">
        <f>HYPERLINK("https://klasma.github.io/Logging_1861/tillsyn/A 14456-2023 tillsynsbegäran.docx", "A 14456-2023")</f>
        <v/>
      </c>
      <c r="Y59">
        <f>HYPERLINK("https://klasma.github.io/Logging_1861/tillsynsmail/A 14456-2023 tillsynsbegäran mail.docx", "A 14456-2023")</f>
        <v/>
      </c>
    </row>
    <row r="60" ht="15" customHeight="1">
      <c r="A60" t="inlineStr">
        <is>
          <t>A 6876-2023</t>
        </is>
      </c>
      <c r="B60" s="1" t="n">
        <v>44967</v>
      </c>
      <c r="C60" s="1" t="n">
        <v>46191</v>
      </c>
      <c r="D60" t="inlineStr">
        <is>
          <t>ÖREBRO LÄN</t>
        </is>
      </c>
      <c r="E60" t="inlineStr">
        <is>
          <t>HALLSBERG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HYPERLINK("https://klasma.github.io/Logging_1861/artfynd/A 6876-2023 artfynd.xlsx", "A 6876-2023")</f>
        <v/>
      </c>
      <c r="T60">
        <f>HYPERLINK("https://klasma.github.io/Logging_1861/kartor/A 6876-2023 karta.png", "A 6876-2023")</f>
        <v/>
      </c>
      <c r="V60">
        <f>HYPERLINK("https://klasma.github.io/Logging_1861/klagomål/A 6876-2023 FSC-klagomål.docx", "A 6876-2023")</f>
        <v/>
      </c>
      <c r="W60">
        <f>HYPERLINK("https://klasma.github.io/Logging_1861/klagomålsmail/A 6876-2023 FSC-klagomål mail.docx", "A 6876-2023")</f>
        <v/>
      </c>
      <c r="X60">
        <f>HYPERLINK("https://klasma.github.io/Logging_1861/tillsyn/A 6876-2023 tillsynsbegäran.docx", "A 6876-2023")</f>
        <v/>
      </c>
      <c r="Y60">
        <f>HYPERLINK("https://klasma.github.io/Logging_1861/tillsynsmail/A 6876-2023 tillsynsbegäran mail.docx", "A 6876-2023")</f>
        <v/>
      </c>
    </row>
    <row r="61" ht="15" customHeight="1">
      <c r="A61" t="inlineStr">
        <is>
          <t>A 14621-2024</t>
        </is>
      </c>
      <c r="B61" s="1" t="n">
        <v>45397</v>
      </c>
      <c r="C61" s="1" t="n">
        <v>46191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HYPERLINK("https://klasma.github.io/Logging_1861/artfynd/A 14621-2024 artfynd.xlsx", "A 14621-2024")</f>
        <v/>
      </c>
      <c r="T61">
        <f>HYPERLINK("https://klasma.github.io/Logging_1861/kartor/A 14621-2024 karta.png", "A 14621-2024")</f>
        <v/>
      </c>
      <c r="V61">
        <f>HYPERLINK("https://klasma.github.io/Logging_1861/klagomål/A 14621-2024 FSC-klagomål.docx", "A 14621-2024")</f>
        <v/>
      </c>
      <c r="W61">
        <f>HYPERLINK("https://klasma.github.io/Logging_1861/klagomålsmail/A 14621-2024 FSC-klagomål mail.docx", "A 14621-2024")</f>
        <v/>
      </c>
      <c r="X61">
        <f>HYPERLINK("https://klasma.github.io/Logging_1861/tillsyn/A 14621-2024 tillsynsbegäran.docx", "A 14621-2024")</f>
        <v/>
      </c>
      <c r="Y61">
        <f>HYPERLINK("https://klasma.github.io/Logging_1861/tillsynsmail/A 14621-2024 tillsynsbegäran mail.docx", "A 14621-2024")</f>
        <v/>
      </c>
    </row>
    <row r="62" ht="15" customHeight="1">
      <c r="A62" t="inlineStr">
        <is>
          <t>A 46325-2024</t>
        </is>
      </c>
      <c r="B62" s="1" t="n">
        <v>45581</v>
      </c>
      <c r="C62" s="1" t="n">
        <v>46191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HYPERLINK("https://klasma.github.io/Logging_1861/artfynd/A 46325-2024 artfynd.xlsx", "A 46325-2024")</f>
        <v/>
      </c>
      <c r="T62">
        <f>HYPERLINK("https://klasma.github.io/Logging_1861/kartor/A 46325-2024 karta.png", "A 46325-2024")</f>
        <v/>
      </c>
      <c r="V62">
        <f>HYPERLINK("https://klasma.github.io/Logging_1861/klagomål/A 46325-2024 FSC-klagomål.docx", "A 46325-2024")</f>
        <v/>
      </c>
      <c r="W62">
        <f>HYPERLINK("https://klasma.github.io/Logging_1861/klagomålsmail/A 46325-2024 FSC-klagomål mail.docx", "A 46325-2024")</f>
        <v/>
      </c>
      <c r="X62">
        <f>HYPERLINK("https://klasma.github.io/Logging_1861/tillsyn/A 46325-2024 tillsynsbegäran.docx", "A 46325-2024")</f>
        <v/>
      </c>
      <c r="Y62">
        <f>HYPERLINK("https://klasma.github.io/Logging_1861/tillsynsmail/A 46325-2024 tillsynsbegäran mail.docx", "A 46325-2024")</f>
        <v/>
      </c>
    </row>
    <row r="63" ht="15" customHeight="1">
      <c r="A63" t="inlineStr">
        <is>
          <t>A 51916-2025</t>
        </is>
      </c>
      <c r="B63" s="1" t="n">
        <v>45952</v>
      </c>
      <c r="C63" s="1" t="n">
        <v>46191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Hållav</t>
        </is>
      </c>
      <c r="S63">
        <f>HYPERLINK("https://klasma.github.io/Logging_1861/artfynd/A 51916-2025 artfynd.xlsx", "A 51916-2025")</f>
        <v/>
      </c>
      <c r="T63">
        <f>HYPERLINK("https://klasma.github.io/Logging_1861/kartor/A 51916-2025 karta.png", "A 51916-2025")</f>
        <v/>
      </c>
      <c r="V63">
        <f>HYPERLINK("https://klasma.github.io/Logging_1861/klagomål/A 51916-2025 FSC-klagomål.docx", "A 51916-2025")</f>
        <v/>
      </c>
      <c r="W63">
        <f>HYPERLINK("https://klasma.github.io/Logging_1861/klagomålsmail/A 51916-2025 FSC-klagomål mail.docx", "A 51916-2025")</f>
        <v/>
      </c>
      <c r="X63">
        <f>HYPERLINK("https://klasma.github.io/Logging_1861/tillsyn/A 51916-2025 tillsynsbegäran.docx", "A 51916-2025")</f>
        <v/>
      </c>
      <c r="Y63">
        <f>HYPERLINK("https://klasma.github.io/Logging_1861/tillsynsmail/A 51916-2025 tillsynsbegäran mail.docx", "A 51916-2025")</f>
        <v/>
      </c>
    </row>
    <row r="64" ht="15" customHeight="1">
      <c r="A64" t="inlineStr">
        <is>
          <t>A 45862-2023</t>
        </is>
      </c>
      <c r="B64" s="1" t="n">
        <v>45195</v>
      </c>
      <c r="C64" s="1" t="n">
        <v>46191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7.8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HYPERLINK("https://klasma.github.io/Logging_1861/artfynd/A 45862-2023 artfynd.xlsx", "A 45862-2023")</f>
        <v/>
      </c>
      <c r="T64">
        <f>HYPERLINK("https://klasma.github.io/Logging_1861/kartor/A 45862-2023 karta.png", "A 45862-2023")</f>
        <v/>
      </c>
      <c r="V64">
        <f>HYPERLINK("https://klasma.github.io/Logging_1861/klagomål/A 45862-2023 FSC-klagomål.docx", "A 45862-2023")</f>
        <v/>
      </c>
      <c r="W64">
        <f>HYPERLINK("https://klasma.github.io/Logging_1861/klagomålsmail/A 45862-2023 FSC-klagomål mail.docx", "A 45862-2023")</f>
        <v/>
      </c>
      <c r="X64">
        <f>HYPERLINK("https://klasma.github.io/Logging_1861/tillsyn/A 45862-2023 tillsynsbegäran.docx", "A 45862-2023")</f>
        <v/>
      </c>
      <c r="Y64">
        <f>HYPERLINK("https://klasma.github.io/Logging_1861/tillsynsmail/A 45862-2023 tillsynsbegäran mail.docx", "A 45862-2023")</f>
        <v/>
      </c>
    </row>
    <row r="65" ht="15" customHeight="1">
      <c r="A65" t="inlineStr">
        <is>
          <t>A 1195-2023</t>
        </is>
      </c>
      <c r="B65" s="1" t="n">
        <v>44935</v>
      </c>
      <c r="C65" s="1" t="n">
        <v>46191</v>
      </c>
      <c r="D65" t="inlineStr">
        <is>
          <t>ÖREBRO LÄN</t>
        </is>
      </c>
      <c r="E65" t="inlineStr">
        <is>
          <t>HALLSBERG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Hasselticka</t>
        </is>
      </c>
      <c r="S65">
        <f>HYPERLINK("https://klasma.github.io/Logging_1861/artfynd/A 1195-2023 artfynd.xlsx", "A 1195-2023")</f>
        <v/>
      </c>
      <c r="T65">
        <f>HYPERLINK("https://klasma.github.io/Logging_1861/kartor/A 1195-2023 karta.png", "A 1195-2023")</f>
        <v/>
      </c>
      <c r="V65">
        <f>HYPERLINK("https://klasma.github.io/Logging_1861/klagomål/A 1195-2023 FSC-klagomål.docx", "A 1195-2023")</f>
        <v/>
      </c>
      <c r="W65">
        <f>HYPERLINK("https://klasma.github.io/Logging_1861/klagomålsmail/A 1195-2023 FSC-klagomål mail.docx", "A 1195-2023")</f>
        <v/>
      </c>
      <c r="X65">
        <f>HYPERLINK("https://klasma.github.io/Logging_1861/tillsyn/A 1195-2023 tillsynsbegäran.docx", "A 1195-2023")</f>
        <v/>
      </c>
      <c r="Y65">
        <f>HYPERLINK("https://klasma.github.io/Logging_1861/tillsynsmail/A 1195-2023 tillsynsbegäran mail.docx", "A 1195-2023")</f>
        <v/>
      </c>
    </row>
    <row r="66" ht="15" customHeight="1">
      <c r="A66" t="inlineStr">
        <is>
          <t>A 20981-2024</t>
        </is>
      </c>
      <c r="B66" s="1" t="n">
        <v>45439</v>
      </c>
      <c r="C66" s="1" t="n">
        <v>46191</v>
      </c>
      <c r="D66" t="inlineStr">
        <is>
          <t>ÖREBRO LÄN</t>
        </is>
      </c>
      <c r="E66" t="inlineStr">
        <is>
          <t>HALLSBERG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HYPERLINK("https://klasma.github.io/Logging_1861/artfynd/A 20981-2024 artfynd.xlsx", "A 20981-2024")</f>
        <v/>
      </c>
      <c r="T66">
        <f>HYPERLINK("https://klasma.github.io/Logging_1861/kartor/A 20981-2024 karta.png", "A 20981-2024")</f>
        <v/>
      </c>
      <c r="V66">
        <f>HYPERLINK("https://klasma.github.io/Logging_1861/klagomål/A 20981-2024 FSC-klagomål.docx", "A 20981-2024")</f>
        <v/>
      </c>
      <c r="W66">
        <f>HYPERLINK("https://klasma.github.io/Logging_1861/klagomålsmail/A 20981-2024 FSC-klagomål mail.docx", "A 20981-2024")</f>
        <v/>
      </c>
      <c r="X66">
        <f>HYPERLINK("https://klasma.github.io/Logging_1861/tillsyn/A 20981-2024 tillsynsbegäran.docx", "A 20981-2024")</f>
        <v/>
      </c>
      <c r="Y66">
        <f>HYPERLINK("https://klasma.github.io/Logging_1861/tillsynsmail/A 20981-2024 tillsynsbegäran mail.docx", "A 20981-2024")</f>
        <v/>
      </c>
    </row>
    <row r="67" ht="15" customHeight="1">
      <c r="A67" t="inlineStr">
        <is>
          <t>A 19853-2022</t>
        </is>
      </c>
      <c r="B67" s="1" t="n">
        <v>44696</v>
      </c>
      <c r="C67" s="1" t="n">
        <v>46191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vattensalamander</t>
        </is>
      </c>
      <c r="S67">
        <f>HYPERLINK("https://klasma.github.io/Logging_1861/artfynd/A 19853-2022 artfynd.xlsx", "A 19853-2022")</f>
        <v/>
      </c>
      <c r="T67">
        <f>HYPERLINK("https://klasma.github.io/Logging_1861/kartor/A 19853-2022 karta.png", "A 19853-2022")</f>
        <v/>
      </c>
      <c r="V67">
        <f>HYPERLINK("https://klasma.github.io/Logging_1861/klagomål/A 19853-2022 FSC-klagomål.docx", "A 19853-2022")</f>
        <v/>
      </c>
      <c r="W67">
        <f>HYPERLINK("https://klasma.github.io/Logging_1861/klagomålsmail/A 19853-2022 FSC-klagomål mail.docx", "A 19853-2022")</f>
        <v/>
      </c>
      <c r="X67">
        <f>HYPERLINK("https://klasma.github.io/Logging_1861/tillsyn/A 19853-2022 tillsynsbegäran.docx", "A 19853-2022")</f>
        <v/>
      </c>
      <c r="Y67">
        <f>HYPERLINK("https://klasma.github.io/Logging_1861/tillsynsmail/A 19853-2022 tillsynsbegäran mail.docx", "A 19853-2022")</f>
        <v/>
      </c>
    </row>
    <row r="68" ht="15" customHeight="1">
      <c r="A68" t="inlineStr">
        <is>
          <t>A 31994-2022</t>
        </is>
      </c>
      <c r="B68" s="1" t="n">
        <v>44778</v>
      </c>
      <c r="C68" s="1" t="n">
        <v>46191</v>
      </c>
      <c r="D68" t="inlineStr">
        <is>
          <t>ÖREBRO LÄN</t>
        </is>
      </c>
      <c r="E68" t="inlineStr">
        <is>
          <t>HALLSBERG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HYPERLINK("https://klasma.github.io/Logging_1861/artfynd/A 31994-2022 artfynd.xlsx", "A 31994-2022")</f>
        <v/>
      </c>
      <c r="T68">
        <f>HYPERLINK("https://klasma.github.io/Logging_1861/kartor/A 31994-2022 karta.png", "A 31994-2022")</f>
        <v/>
      </c>
      <c r="V68">
        <f>HYPERLINK("https://klasma.github.io/Logging_1861/klagomål/A 31994-2022 FSC-klagomål.docx", "A 31994-2022")</f>
        <v/>
      </c>
      <c r="W68">
        <f>HYPERLINK("https://klasma.github.io/Logging_1861/klagomålsmail/A 31994-2022 FSC-klagomål mail.docx", "A 31994-2022")</f>
        <v/>
      </c>
      <c r="X68">
        <f>HYPERLINK("https://klasma.github.io/Logging_1861/tillsyn/A 31994-2022 tillsynsbegäran.docx", "A 31994-2022")</f>
        <v/>
      </c>
      <c r="Y68">
        <f>HYPERLINK("https://klasma.github.io/Logging_1861/tillsynsmail/A 31994-2022 tillsynsbegäran mail.docx", "A 31994-2022")</f>
        <v/>
      </c>
    </row>
    <row r="69" ht="15" customHeight="1">
      <c r="A69" t="inlineStr">
        <is>
          <t>A 25471-2025</t>
        </is>
      </c>
      <c r="B69" s="1" t="n">
        <v>45802</v>
      </c>
      <c r="C69" s="1" t="n">
        <v>46191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HYPERLINK("https://klasma.github.io/Logging_1861/artfynd/A 25471-2025 artfynd.xlsx", "A 25471-2025")</f>
        <v/>
      </c>
      <c r="T69">
        <f>HYPERLINK("https://klasma.github.io/Logging_1861/kartor/A 25471-2025 karta.png", "A 25471-2025")</f>
        <v/>
      </c>
      <c r="V69">
        <f>HYPERLINK("https://klasma.github.io/Logging_1861/klagomål/A 25471-2025 FSC-klagomål.docx", "A 25471-2025")</f>
        <v/>
      </c>
      <c r="W69">
        <f>HYPERLINK("https://klasma.github.io/Logging_1861/klagomålsmail/A 25471-2025 FSC-klagomål mail.docx", "A 25471-2025")</f>
        <v/>
      </c>
      <c r="X69">
        <f>HYPERLINK("https://klasma.github.io/Logging_1861/tillsyn/A 25471-2025 tillsynsbegäran.docx", "A 25471-2025")</f>
        <v/>
      </c>
      <c r="Y69">
        <f>HYPERLINK("https://klasma.github.io/Logging_1861/tillsynsmail/A 25471-2025 tillsynsbegäran mail.docx", "A 25471-2025")</f>
        <v/>
      </c>
      <c r="Z69">
        <f>HYPERLINK("https://klasma.github.io/Logging_1861/fåglar/A 25471-2025 prioriterade fågelarter.docx", "A 25471-2025")</f>
        <v/>
      </c>
    </row>
    <row r="70" ht="15" customHeight="1">
      <c r="A70" t="inlineStr">
        <is>
          <t>A 37049-2025</t>
        </is>
      </c>
      <c r="B70" s="1" t="n">
        <v>45875</v>
      </c>
      <c r="C70" s="1" t="n">
        <v>46191</v>
      </c>
      <c r="D70" t="inlineStr">
        <is>
          <t>ÖREBRO LÄN</t>
        </is>
      </c>
      <c r="E70" t="inlineStr">
        <is>
          <t>HALLSBERG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HYPERLINK("https://klasma.github.io/Logging_1861/artfynd/A 37049-2025 artfynd.xlsx", "A 37049-2025")</f>
        <v/>
      </c>
      <c r="T70">
        <f>HYPERLINK("https://klasma.github.io/Logging_1861/kartor/A 37049-2025 karta.png", "A 37049-2025")</f>
        <v/>
      </c>
      <c r="V70">
        <f>HYPERLINK("https://klasma.github.io/Logging_1861/klagomål/A 37049-2025 FSC-klagomål.docx", "A 37049-2025")</f>
        <v/>
      </c>
      <c r="W70">
        <f>HYPERLINK("https://klasma.github.io/Logging_1861/klagomålsmail/A 37049-2025 FSC-klagomål mail.docx", "A 37049-2025")</f>
        <v/>
      </c>
      <c r="X70">
        <f>HYPERLINK("https://klasma.github.io/Logging_1861/tillsyn/A 37049-2025 tillsynsbegäran.docx", "A 37049-2025")</f>
        <v/>
      </c>
      <c r="Y70">
        <f>HYPERLINK("https://klasma.github.io/Logging_1861/tillsynsmail/A 37049-2025 tillsynsbegäran mail.docx", "A 37049-2025")</f>
        <v/>
      </c>
    </row>
    <row r="71" ht="15" customHeight="1">
      <c r="A71" t="inlineStr">
        <is>
          <t>A 37048-2025</t>
        </is>
      </c>
      <c r="B71" s="1" t="n">
        <v>45875</v>
      </c>
      <c r="C71" s="1" t="n">
        <v>46191</v>
      </c>
      <c r="D71" t="inlineStr">
        <is>
          <t>ÖREBRO LÄN</t>
        </is>
      </c>
      <c r="E71" t="inlineStr">
        <is>
          <t>HALLSBERG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HYPERLINK("https://klasma.github.io/Logging_1861/artfynd/A 37048-2025 artfynd.xlsx", "A 37048-2025")</f>
        <v/>
      </c>
      <c r="T71">
        <f>HYPERLINK("https://klasma.github.io/Logging_1861/kartor/A 37048-2025 karta.png", "A 37048-2025")</f>
        <v/>
      </c>
      <c r="V71">
        <f>HYPERLINK("https://klasma.github.io/Logging_1861/klagomål/A 37048-2025 FSC-klagomål.docx", "A 37048-2025")</f>
        <v/>
      </c>
      <c r="W71">
        <f>HYPERLINK("https://klasma.github.io/Logging_1861/klagomålsmail/A 37048-2025 FSC-klagomål mail.docx", "A 37048-2025")</f>
        <v/>
      </c>
      <c r="X71">
        <f>HYPERLINK("https://klasma.github.io/Logging_1861/tillsyn/A 37048-2025 tillsynsbegäran.docx", "A 37048-2025")</f>
        <v/>
      </c>
      <c r="Y71">
        <f>HYPERLINK("https://klasma.github.io/Logging_1861/tillsynsmail/A 37048-2025 tillsynsbegäran mail.docx", "A 37048-2025")</f>
        <v/>
      </c>
      <c r="Z71">
        <f>HYPERLINK("https://klasma.github.io/Logging_1861/fåglar/A 37048-2025 prioriterade fågelarter.docx", "A 37048-2025")</f>
        <v/>
      </c>
    </row>
    <row r="72" ht="15" customHeight="1">
      <c r="A72" t="inlineStr">
        <is>
          <t>A 38010-2025</t>
        </is>
      </c>
      <c r="B72" s="1" t="n">
        <v>45882</v>
      </c>
      <c r="C72" s="1" t="n">
        <v>46191</v>
      </c>
      <c r="D72" t="inlineStr">
        <is>
          <t>ÖREBRO LÄN</t>
        </is>
      </c>
      <c r="E72" t="inlineStr">
        <is>
          <t>HALLSBERG</t>
        </is>
      </c>
      <c r="G72" t="n">
        <v>3.9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HYPERLINK("https://klasma.github.io/Logging_1861/artfynd/A 38010-2025 artfynd.xlsx", "A 38010-2025")</f>
        <v/>
      </c>
      <c r="T72">
        <f>HYPERLINK("https://klasma.github.io/Logging_1861/kartor/A 38010-2025 karta.png", "A 38010-2025")</f>
        <v/>
      </c>
      <c r="V72">
        <f>HYPERLINK("https://klasma.github.io/Logging_1861/klagomål/A 38010-2025 FSC-klagomål.docx", "A 38010-2025")</f>
        <v/>
      </c>
      <c r="W72">
        <f>HYPERLINK("https://klasma.github.io/Logging_1861/klagomålsmail/A 38010-2025 FSC-klagomål mail.docx", "A 38010-2025")</f>
        <v/>
      </c>
      <c r="X72">
        <f>HYPERLINK("https://klasma.github.io/Logging_1861/tillsyn/A 38010-2025 tillsynsbegäran.docx", "A 38010-2025")</f>
        <v/>
      </c>
      <c r="Y72">
        <f>HYPERLINK("https://klasma.github.io/Logging_1861/tillsynsmail/A 38010-2025 tillsynsbegäran mail.docx", "A 38010-2025")</f>
        <v/>
      </c>
      <c r="Z72">
        <f>HYPERLINK("https://klasma.github.io/Logging_1861/fåglar/A 38010-2025 prioriterade fågelarter.docx", "A 38010-2025")</f>
        <v/>
      </c>
    </row>
    <row r="73" ht="15" customHeight="1">
      <c r="A73" t="inlineStr">
        <is>
          <t>A 39057-2021</t>
        </is>
      </c>
      <c r="B73" s="1" t="n">
        <v>44412</v>
      </c>
      <c r="C73" s="1" t="n">
        <v>46191</v>
      </c>
      <c r="D73" t="inlineStr">
        <is>
          <t>ÖREBRO LÄN</t>
        </is>
      </c>
      <c r="E73" t="inlineStr">
        <is>
          <t>HALLSBERG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58462-2021</t>
        </is>
      </c>
      <c r="B74" s="1" t="n">
        <v>44488</v>
      </c>
      <c r="C74" s="1" t="n">
        <v>46191</v>
      </c>
      <c r="D74" t="inlineStr">
        <is>
          <t>ÖREBRO LÄN</t>
        </is>
      </c>
      <c r="E74" t="inlineStr">
        <is>
          <t>HALLSBERG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3366-2022</t>
        </is>
      </c>
      <c r="B75" s="1" t="n">
        <v>44585</v>
      </c>
      <c r="C75" s="1" t="n">
        <v>46191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44227-2021</t>
        </is>
      </c>
      <c r="B76" s="1" t="n">
        <v>44434</v>
      </c>
      <c r="C76" s="1" t="n">
        <v>46191</v>
      </c>
      <c r="D76" t="inlineStr">
        <is>
          <t>ÖREBRO LÄN</t>
        </is>
      </c>
      <c r="E76" t="inlineStr">
        <is>
          <t>HALLSBERG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32512-2022</t>
        </is>
      </c>
      <c r="B77" s="1" t="n">
        <v>44782</v>
      </c>
      <c r="C77" s="1" t="n">
        <v>46191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39450-2021</t>
        </is>
      </c>
      <c r="B78" s="1" t="n">
        <v>44414</v>
      </c>
      <c r="C78" s="1" t="n">
        <v>46191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13660-2022</t>
        </is>
      </c>
      <c r="B79" s="1" t="n">
        <v>44648</v>
      </c>
      <c r="C79" s="1" t="n">
        <v>46191</v>
      </c>
      <c r="D79" t="inlineStr">
        <is>
          <t>ÖREBRO LÄN</t>
        </is>
      </c>
      <c r="E79" t="inlineStr">
        <is>
          <t>HALLSBERG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13120-2022</t>
        </is>
      </c>
      <c r="B80" s="1" t="n">
        <v>44643</v>
      </c>
      <c r="C80" s="1" t="n">
        <v>46191</v>
      </c>
      <c r="D80" t="inlineStr">
        <is>
          <t>ÖREBRO LÄN</t>
        </is>
      </c>
      <c r="E80" t="inlineStr">
        <is>
          <t>HALLSBERG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</v>
      </c>
      <c r="C81" s="1" t="n">
        <v>46191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39725-2022</t>
        </is>
      </c>
      <c r="B82" s="1" t="n">
        <v>44816</v>
      </c>
      <c r="C82" s="1" t="n">
        <v>46191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46191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46191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46191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46191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</v>
      </c>
      <c r="C87" s="1" t="n">
        <v>46191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</v>
      </c>
      <c r="C88" s="1" t="n">
        <v>46191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44228-2021</t>
        </is>
      </c>
      <c r="B89" s="1" t="n">
        <v>44434</v>
      </c>
      <c r="C89" s="1" t="n">
        <v>46191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30144-2022</t>
        </is>
      </c>
      <c r="B90" s="1" t="n">
        <v>44757</v>
      </c>
      <c r="C90" s="1" t="n">
        <v>46191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46055-2024</t>
        </is>
      </c>
      <c r="B91" s="1" t="n">
        <v>45580</v>
      </c>
      <c r="C91" s="1" t="n">
        <v>46191</v>
      </c>
      <c r="D91" t="inlineStr">
        <is>
          <t>ÖREBRO LÄN</t>
        </is>
      </c>
      <c r="E91" t="inlineStr">
        <is>
          <t>HALLSBERG</t>
        </is>
      </c>
      <c r="F91" t="inlineStr">
        <is>
          <t>Övriga Aktiebolag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37451-2023</t>
        </is>
      </c>
      <c r="B92" s="1" t="n">
        <v>45156</v>
      </c>
      <c r="C92" s="1" t="n">
        <v>46191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24629-2023</t>
        </is>
      </c>
      <c r="B93" s="1" t="n">
        <v>45084</v>
      </c>
      <c r="C93" s="1" t="n">
        <v>46191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46792-2023</t>
        </is>
      </c>
      <c r="B94" s="1" t="n">
        <v>45198</v>
      </c>
      <c r="C94" s="1" t="n">
        <v>46191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56272-2023</t>
        </is>
      </c>
      <c r="B95" s="1" t="n">
        <v>45241</v>
      </c>
      <c r="C95" s="1" t="n">
        <v>46191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13468-2024</t>
        </is>
      </c>
      <c r="B96" s="1" t="n">
        <v>45387</v>
      </c>
      <c r="C96" s="1" t="n">
        <v>46191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51350-2023</t>
        </is>
      </c>
      <c r="B97" s="1" t="n">
        <v>45213</v>
      </c>
      <c r="C97" s="1" t="n">
        <v>46191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40607-2021</t>
        </is>
      </c>
      <c r="B98" s="1" t="n">
        <v>44420</v>
      </c>
      <c r="C98" s="1" t="n">
        <v>46191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45852-2023</t>
        </is>
      </c>
      <c r="B99" s="1" t="n">
        <v>45195</v>
      </c>
      <c r="C99" s="1" t="n">
        <v>46191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25805-2024</t>
        </is>
      </c>
      <c r="B100" s="1" t="n">
        <v>45467</v>
      </c>
      <c r="C100" s="1" t="n">
        <v>46191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18556-2024</t>
        </is>
      </c>
      <c r="B101" s="1" t="n">
        <v>45425</v>
      </c>
      <c r="C101" s="1" t="n">
        <v>46191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33290-2021</t>
        </is>
      </c>
      <c r="B102" s="1" t="n">
        <v>44377</v>
      </c>
      <c r="C102" s="1" t="n">
        <v>46191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69607-2021</t>
        </is>
      </c>
      <c r="B103" s="1" t="n">
        <v>44532</v>
      </c>
      <c r="C103" s="1" t="n">
        <v>46191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16441-2025</t>
        </is>
      </c>
      <c r="B104" s="1" t="n">
        <v>45751</v>
      </c>
      <c r="C104" s="1" t="n">
        <v>46191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6779-2025</t>
        </is>
      </c>
      <c r="B105" s="1" t="n">
        <v>45700</v>
      </c>
      <c r="C105" s="1" t="n">
        <v>46191</v>
      </c>
      <c r="D105" t="inlineStr">
        <is>
          <t>ÖREBRO LÄN</t>
        </is>
      </c>
      <c r="E105" t="inlineStr">
        <is>
          <t>HALLSBERG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6766-2025</t>
        </is>
      </c>
      <c r="B106" s="1" t="n">
        <v>45700</v>
      </c>
      <c r="C106" s="1" t="n">
        <v>46191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64419-2023</t>
        </is>
      </c>
      <c r="B107" s="1" t="n">
        <v>45280</v>
      </c>
      <c r="C107" s="1" t="n">
        <v>46191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40067-2025</t>
        </is>
      </c>
      <c r="B108" s="1" t="n">
        <v>45894</v>
      </c>
      <c r="C108" s="1" t="n">
        <v>46191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40551-2023</t>
        </is>
      </c>
      <c r="B109" s="1" t="n">
        <v>45170</v>
      </c>
      <c r="C109" s="1" t="n">
        <v>46191</v>
      </c>
      <c r="D109" t="inlineStr">
        <is>
          <t>ÖREBRO LÄN</t>
        </is>
      </c>
      <c r="E109" t="inlineStr">
        <is>
          <t>HALLSBERG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46061-2024</t>
        </is>
      </c>
      <c r="B110" s="1" t="n">
        <v>45580</v>
      </c>
      <c r="C110" s="1" t="n">
        <v>46191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3236-2026</t>
        </is>
      </c>
      <c r="B111" s="1" t="n">
        <v>46041</v>
      </c>
      <c r="C111" s="1" t="n">
        <v>46191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3259-2026</t>
        </is>
      </c>
      <c r="B112" s="1" t="n">
        <v>46041</v>
      </c>
      <c r="C112" s="1" t="n">
        <v>46191</v>
      </c>
      <c r="D112" t="inlineStr">
        <is>
          <t>ÖREBRO LÄN</t>
        </is>
      </c>
      <c r="E112" t="inlineStr">
        <is>
          <t>HALLSBERG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3235-2026</t>
        </is>
      </c>
      <c r="B113" s="1" t="n">
        <v>46041</v>
      </c>
      <c r="C113" s="1" t="n">
        <v>46191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3257-2026</t>
        </is>
      </c>
      <c r="B114" s="1" t="n">
        <v>46041</v>
      </c>
      <c r="C114" s="1" t="n">
        <v>46191</v>
      </c>
      <c r="D114" t="inlineStr">
        <is>
          <t>ÖREBRO LÄN</t>
        </is>
      </c>
      <c r="E114" t="inlineStr">
        <is>
          <t>HALLSBERG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38344-2024</t>
        </is>
      </c>
      <c r="B115" s="1" t="n">
        <v>45545</v>
      </c>
      <c r="C115" s="1" t="n">
        <v>46191</v>
      </c>
      <c r="D115" t="inlineStr">
        <is>
          <t>ÖREBRO LÄN</t>
        </is>
      </c>
      <c r="E115" t="inlineStr">
        <is>
          <t>HALLSBERG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3896-2026</t>
        </is>
      </c>
      <c r="B116" s="1" t="n">
        <v>46043</v>
      </c>
      <c r="C116" s="1" t="n">
        <v>46191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3897-2026</t>
        </is>
      </c>
      <c r="B117" s="1" t="n">
        <v>46043</v>
      </c>
      <c r="C117" s="1" t="n">
        <v>46191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41468-2025</t>
        </is>
      </c>
      <c r="B118" s="1" t="n">
        <v>45896</v>
      </c>
      <c r="C118" s="1" t="n">
        <v>46191</v>
      </c>
      <c r="D118" t="inlineStr">
        <is>
          <t>ÖREBRO LÄN</t>
        </is>
      </c>
      <c r="E118" t="inlineStr">
        <is>
          <t>HALLSBERG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41695-2025</t>
        </is>
      </c>
      <c r="B119" s="1" t="n">
        <v>45902</v>
      </c>
      <c r="C119" s="1" t="n">
        <v>46191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41693-2025</t>
        </is>
      </c>
      <c r="B120" s="1" t="n">
        <v>45902</v>
      </c>
      <c r="C120" s="1" t="n">
        <v>46191</v>
      </c>
      <c r="D120" t="inlineStr">
        <is>
          <t>ÖREBRO LÄN</t>
        </is>
      </c>
      <c r="E120" t="inlineStr">
        <is>
          <t>HALLSBERG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33097-2023</t>
        </is>
      </c>
      <c r="B121" s="1" t="n">
        <v>45126</v>
      </c>
      <c r="C121" s="1" t="n">
        <v>46191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42604-2025</t>
        </is>
      </c>
      <c r="B122" s="1" t="n">
        <v>45905</v>
      </c>
      <c r="C122" s="1" t="n">
        <v>46191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54075-2024</t>
        </is>
      </c>
      <c r="B123" s="1" t="n">
        <v>45616</v>
      </c>
      <c r="C123" s="1" t="n">
        <v>46191</v>
      </c>
      <c r="D123" t="inlineStr">
        <is>
          <t>ÖREBRO LÄN</t>
        </is>
      </c>
      <c r="E123" t="inlineStr">
        <is>
          <t>HALLSBERG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38010-2023</t>
        </is>
      </c>
      <c r="B124" s="1" t="n">
        <v>45160</v>
      </c>
      <c r="C124" s="1" t="n">
        <v>46191</v>
      </c>
      <c r="D124" t="inlineStr">
        <is>
          <t>ÖREBRO LÄN</t>
        </is>
      </c>
      <c r="E124" t="inlineStr">
        <is>
          <t>HALLSBERG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42411-2025</t>
        </is>
      </c>
      <c r="B125" s="1" t="n">
        <v>45905</v>
      </c>
      <c r="C125" s="1" t="n">
        <v>46191</v>
      </c>
      <c r="D125" t="inlineStr">
        <is>
          <t>ÖREBRO LÄN</t>
        </is>
      </c>
      <c r="E125" t="inlineStr">
        <is>
          <t>HALLSBERG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3799-2024</t>
        </is>
      </c>
      <c r="B126" s="1" t="n">
        <v>45321</v>
      </c>
      <c r="C126" s="1" t="n">
        <v>46191</v>
      </c>
      <c r="D126" t="inlineStr">
        <is>
          <t>ÖREBRO LÄN</t>
        </is>
      </c>
      <c r="E126" t="inlineStr">
        <is>
          <t>HALLSBERG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7191-2025</t>
        </is>
      </c>
      <c r="B127" s="1" t="n">
        <v>45702</v>
      </c>
      <c r="C127" s="1" t="n">
        <v>46191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50237-2024</t>
        </is>
      </c>
      <c r="B128" s="1" t="n">
        <v>45600</v>
      </c>
      <c r="C128" s="1" t="n">
        <v>46191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43379-2025</t>
        </is>
      </c>
      <c r="B129" s="1" t="n">
        <v>45911</v>
      </c>
      <c r="C129" s="1" t="n">
        <v>46191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44305-2025</t>
        </is>
      </c>
      <c r="B130" s="1" t="n">
        <v>45916</v>
      </c>
      <c r="C130" s="1" t="n">
        <v>46191</v>
      </c>
      <c r="D130" t="inlineStr">
        <is>
          <t>ÖREBRO LÄN</t>
        </is>
      </c>
      <c r="E130" t="inlineStr">
        <is>
          <t>HALLSBERG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18512-2022</t>
        </is>
      </c>
      <c r="B131" s="1" t="n">
        <v>44686</v>
      </c>
      <c r="C131" s="1" t="n">
        <v>46191</v>
      </c>
      <c r="D131" t="inlineStr">
        <is>
          <t>ÖREBRO LÄN</t>
        </is>
      </c>
      <c r="E131" t="inlineStr">
        <is>
          <t>HALLSBERG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16085-2022</t>
        </is>
      </c>
      <c r="B132" s="1" t="n">
        <v>44665</v>
      </c>
      <c r="C132" s="1" t="n">
        <v>46191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44177-2025</t>
        </is>
      </c>
      <c r="B133" s="1" t="n">
        <v>45915</v>
      </c>
      <c r="C133" s="1" t="n">
        <v>46191</v>
      </c>
      <c r="D133" t="inlineStr">
        <is>
          <t>ÖREBRO LÄN</t>
        </is>
      </c>
      <c r="E133" t="inlineStr">
        <is>
          <t>HALLSBERG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38831-2022</t>
        </is>
      </c>
      <c r="B134" s="1" t="n">
        <v>44814</v>
      </c>
      <c r="C134" s="1" t="n">
        <v>46191</v>
      </c>
      <c r="D134" t="inlineStr">
        <is>
          <t>ÖREBRO LÄN</t>
        </is>
      </c>
      <c r="E134" t="inlineStr">
        <is>
          <t>HALLSBERG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11358-2025</t>
        </is>
      </c>
      <c r="B135" s="1" t="n">
        <v>45726</v>
      </c>
      <c r="C135" s="1" t="n">
        <v>46191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7238-2026</t>
        </is>
      </c>
      <c r="B136" s="1" t="n">
        <v>46058</v>
      </c>
      <c r="C136" s="1" t="n">
        <v>46191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24416-2023</t>
        </is>
      </c>
      <c r="B137" s="1" t="n">
        <v>45082</v>
      </c>
      <c r="C137" s="1" t="n">
        <v>46191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14333-2022</t>
        </is>
      </c>
      <c r="B138" s="1" t="n">
        <v>44651</v>
      </c>
      <c r="C138" s="1" t="n">
        <v>46191</v>
      </c>
      <c r="D138" t="inlineStr">
        <is>
          <t>ÖREBRO LÄN</t>
        </is>
      </c>
      <c r="E138" t="inlineStr">
        <is>
          <t>HALLSBERG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27110-2023</t>
        </is>
      </c>
      <c r="B139" s="1" t="n">
        <v>45096</v>
      </c>
      <c r="C139" s="1" t="n">
        <v>46191</v>
      </c>
      <c r="D139" t="inlineStr">
        <is>
          <t>ÖREBRO LÄN</t>
        </is>
      </c>
      <c r="E139" t="inlineStr">
        <is>
          <t>HALLSBERG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46160-2025</t>
        </is>
      </c>
      <c r="B140" s="1" t="n">
        <v>45924</v>
      </c>
      <c r="C140" s="1" t="n">
        <v>46191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19849-2022</t>
        </is>
      </c>
      <c r="B141" s="1" t="n">
        <v>44696</v>
      </c>
      <c r="C141" s="1" t="n">
        <v>46191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7992-2026</t>
        </is>
      </c>
      <c r="B142" s="1" t="n">
        <v>46063</v>
      </c>
      <c r="C142" s="1" t="n">
        <v>46191</v>
      </c>
      <c r="D142" t="inlineStr">
        <is>
          <t>ÖREBRO LÄN</t>
        </is>
      </c>
      <c r="E142" t="inlineStr">
        <is>
          <t>HALLSBERG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7991-2026</t>
        </is>
      </c>
      <c r="B143" s="1" t="n">
        <v>46063</v>
      </c>
      <c r="C143" s="1" t="n">
        <v>46191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53329-2023</t>
        </is>
      </c>
      <c r="B144" s="1" t="n">
        <v>45229</v>
      </c>
      <c r="C144" s="1" t="n">
        <v>46191</v>
      </c>
      <c r="D144" t="inlineStr">
        <is>
          <t>ÖREBRO LÄN</t>
        </is>
      </c>
      <c r="E144" t="inlineStr">
        <is>
          <t>HALLSBERG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42156-2024</t>
        </is>
      </c>
      <c r="B145" s="1" t="n">
        <v>45562</v>
      </c>
      <c r="C145" s="1" t="n">
        <v>46191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18892-2024</t>
        </is>
      </c>
      <c r="B146" s="1" t="n">
        <v>45427</v>
      </c>
      <c r="C146" s="1" t="n">
        <v>46191</v>
      </c>
      <c r="D146" t="inlineStr">
        <is>
          <t>ÖREBRO LÄN</t>
        </is>
      </c>
      <c r="E146" t="inlineStr">
        <is>
          <t>HALLSBERG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55851-2023</t>
        </is>
      </c>
      <c r="B147" s="1" t="n">
        <v>45239</v>
      </c>
      <c r="C147" s="1" t="n">
        <v>46191</v>
      </c>
      <c r="D147" t="inlineStr">
        <is>
          <t>ÖREBRO LÄN</t>
        </is>
      </c>
      <c r="E147" t="inlineStr">
        <is>
          <t>HALLSBERG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8892-2026</t>
        </is>
      </c>
      <c r="B148" s="1" t="n">
        <v>46068</v>
      </c>
      <c r="C148" s="1" t="n">
        <v>46191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8897-2026</t>
        </is>
      </c>
      <c r="B149" s="1" t="n">
        <v>46068</v>
      </c>
      <c r="C149" s="1" t="n">
        <v>46191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12471-2022</t>
        </is>
      </c>
      <c r="B150" s="1" t="n">
        <v>44638</v>
      </c>
      <c r="C150" s="1" t="n">
        <v>46191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15523-2024</t>
        </is>
      </c>
      <c r="B151" s="1" t="n">
        <v>45401</v>
      </c>
      <c r="C151" s="1" t="n">
        <v>46191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36081-2023</t>
        </is>
      </c>
      <c r="B152" s="1" t="n">
        <v>45149</v>
      </c>
      <c r="C152" s="1" t="n">
        <v>46191</v>
      </c>
      <c r="D152" t="inlineStr">
        <is>
          <t>ÖREBRO LÄN</t>
        </is>
      </c>
      <c r="E152" t="inlineStr">
        <is>
          <t>HALLSBERG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24628-2023</t>
        </is>
      </c>
      <c r="B153" s="1" t="n">
        <v>45084</v>
      </c>
      <c r="C153" s="1" t="n">
        <v>46191</v>
      </c>
      <c r="D153" t="inlineStr">
        <is>
          <t>ÖREBRO LÄN</t>
        </is>
      </c>
      <c r="E153" t="inlineStr">
        <is>
          <t>HALLSBERG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48183-2025</t>
        </is>
      </c>
      <c r="B154" s="1" t="n">
        <v>45933</v>
      </c>
      <c r="C154" s="1" t="n">
        <v>46191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14928-2022</t>
        </is>
      </c>
      <c r="B155" s="1" t="n">
        <v>44657</v>
      </c>
      <c r="C155" s="1" t="n">
        <v>46191</v>
      </c>
      <c r="D155" t="inlineStr">
        <is>
          <t>ÖREBRO LÄN</t>
        </is>
      </c>
      <c r="E155" t="inlineStr">
        <is>
          <t>HALLSBERG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28540-2024</t>
        </is>
      </c>
      <c r="B156" s="1" t="n">
        <v>45478</v>
      </c>
      <c r="C156" s="1" t="n">
        <v>46191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29735-2023</t>
        </is>
      </c>
      <c r="B157" s="1" t="n">
        <v>45098</v>
      </c>
      <c r="C157" s="1" t="n">
        <v>46191</v>
      </c>
      <c r="D157" t="inlineStr">
        <is>
          <t>ÖREBRO LÄN</t>
        </is>
      </c>
      <c r="E157" t="inlineStr">
        <is>
          <t>HALLSBERG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50980-2025</t>
        </is>
      </c>
      <c r="B158" s="1" t="n">
        <v>45947</v>
      </c>
      <c r="C158" s="1" t="n">
        <v>46191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12783-2026</t>
        </is>
      </c>
      <c r="B159" s="1" t="n">
        <v>46091</v>
      </c>
      <c r="C159" s="1" t="n">
        <v>46191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51942-2025</t>
        </is>
      </c>
      <c r="B160" s="1" t="n">
        <v>45952</v>
      </c>
      <c r="C160" s="1" t="n">
        <v>46191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12785-2026</t>
        </is>
      </c>
      <c r="B161" s="1" t="n">
        <v>46091</v>
      </c>
      <c r="C161" s="1" t="n">
        <v>46191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51920-2025</t>
        </is>
      </c>
      <c r="B162" s="1" t="n">
        <v>45952</v>
      </c>
      <c r="C162" s="1" t="n">
        <v>46191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24760-2024</t>
        </is>
      </c>
      <c r="B163" s="1" t="n">
        <v>45460</v>
      </c>
      <c r="C163" s="1" t="n">
        <v>46191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60081-2023</t>
        </is>
      </c>
      <c r="B164" s="1" t="n">
        <v>45258</v>
      </c>
      <c r="C164" s="1" t="n">
        <v>46191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64172-2023</t>
        </is>
      </c>
      <c r="B165" s="1" t="n">
        <v>45279</v>
      </c>
      <c r="C165" s="1" t="n">
        <v>46191</v>
      </c>
      <c r="D165" t="inlineStr">
        <is>
          <t>ÖREBRO LÄN</t>
        </is>
      </c>
      <c r="E165" t="inlineStr">
        <is>
          <t>HALLSBERG</t>
        </is>
      </c>
      <c r="F165" t="inlineStr">
        <is>
          <t>Övriga Aktiebolag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9814-2025</t>
        </is>
      </c>
      <c r="B166" s="1" t="n">
        <v>45715</v>
      </c>
      <c r="C166" s="1" t="n">
        <v>46191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13977-2026</t>
        </is>
      </c>
      <c r="B167" s="1" t="n">
        <v>46098</v>
      </c>
      <c r="C167" s="1" t="n">
        <v>46191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52959-2025</t>
        </is>
      </c>
      <c r="B168" s="1" t="n">
        <v>45956</v>
      </c>
      <c r="C168" s="1" t="n">
        <v>46191</v>
      </c>
      <c r="D168" t="inlineStr">
        <is>
          <t>ÖREBRO LÄN</t>
        </is>
      </c>
      <c r="E168" t="inlineStr">
        <is>
          <t>HALLSBERG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54058-2025</t>
        </is>
      </c>
      <c r="B169" s="1" t="n">
        <v>45964</v>
      </c>
      <c r="C169" s="1" t="n">
        <v>46191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54062-2025</t>
        </is>
      </c>
      <c r="B170" s="1" t="n">
        <v>45964</v>
      </c>
      <c r="C170" s="1" t="n">
        <v>46191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49582-2022</t>
        </is>
      </c>
      <c r="B171" s="1" t="n">
        <v>44862</v>
      </c>
      <c r="C171" s="1" t="n">
        <v>46191</v>
      </c>
      <c r="D171" t="inlineStr">
        <is>
          <t>ÖREBRO LÄN</t>
        </is>
      </c>
      <c r="E171" t="inlineStr">
        <is>
          <t>HALLSBERG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36880-2022</t>
        </is>
      </c>
      <c r="B172" s="1" t="n">
        <v>44805</v>
      </c>
      <c r="C172" s="1" t="n">
        <v>46191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54060-2025</t>
        </is>
      </c>
      <c r="B173" s="1" t="n">
        <v>45964</v>
      </c>
      <c r="C173" s="1" t="n">
        <v>46191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55210-2025</t>
        </is>
      </c>
      <c r="B174" s="1" t="n">
        <v>45968</v>
      </c>
      <c r="C174" s="1" t="n">
        <v>46191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</v>
      </c>
      <c r="C175" s="1" t="n">
        <v>46191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55344-2025</t>
        </is>
      </c>
      <c r="B176" s="1" t="n">
        <v>45971</v>
      </c>
      <c r="C176" s="1" t="n">
        <v>46191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56061-2025</t>
        </is>
      </c>
      <c r="B177" s="1" t="n">
        <v>45973</v>
      </c>
      <c r="C177" s="1" t="n">
        <v>46191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46191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31094-2024</t>
        </is>
      </c>
      <c r="B179" s="1" t="n">
        <v>45502</v>
      </c>
      <c r="C179" s="1" t="n">
        <v>46191</v>
      </c>
      <c r="D179" t="inlineStr">
        <is>
          <t>ÖREBRO LÄN</t>
        </is>
      </c>
      <c r="E179" t="inlineStr">
        <is>
          <t>HALLSBERG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7492-2024</t>
        </is>
      </c>
      <c r="B180" s="1" t="n">
        <v>45346</v>
      </c>
      <c r="C180" s="1" t="n">
        <v>46191</v>
      </c>
      <c r="D180" t="inlineStr">
        <is>
          <t>ÖREBRO LÄN</t>
        </is>
      </c>
      <c r="E180" t="inlineStr">
        <is>
          <t>HALLSBERG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11925-2025</t>
        </is>
      </c>
      <c r="B181" s="1" t="n">
        <v>45728</v>
      </c>
      <c r="C181" s="1" t="n">
        <v>46191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56890-2025</t>
        </is>
      </c>
      <c r="B182" s="1" t="n">
        <v>45978</v>
      </c>
      <c r="C182" s="1" t="n">
        <v>46191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56839-2025</t>
        </is>
      </c>
      <c r="B183" s="1" t="n">
        <v>45978</v>
      </c>
      <c r="C183" s="1" t="n">
        <v>46191</v>
      </c>
      <c r="D183" t="inlineStr">
        <is>
          <t>ÖREBRO LÄN</t>
        </is>
      </c>
      <c r="E183" t="inlineStr">
        <is>
          <t>HALLSBERG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41196-2023</t>
        </is>
      </c>
      <c r="B184" s="1" t="n">
        <v>45174</v>
      </c>
      <c r="C184" s="1" t="n">
        <v>46191</v>
      </c>
      <c r="D184" t="inlineStr">
        <is>
          <t>ÖREBRO LÄN</t>
        </is>
      </c>
      <c r="E184" t="inlineStr">
        <is>
          <t>HALLSBERG</t>
        </is>
      </c>
      <c r="F184" t="inlineStr">
        <is>
          <t>Allmännings- och besparingsskogar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29859-2022</t>
        </is>
      </c>
      <c r="B185" s="1" t="n">
        <v>44756</v>
      </c>
      <c r="C185" s="1" t="n">
        <v>46191</v>
      </c>
      <c r="D185" t="inlineStr">
        <is>
          <t>ÖREBRO LÄN</t>
        </is>
      </c>
      <c r="E185" t="inlineStr">
        <is>
          <t>HALLSBERG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56878-2025</t>
        </is>
      </c>
      <c r="B186" s="1" t="n">
        <v>45978</v>
      </c>
      <c r="C186" s="1" t="n">
        <v>46191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29907-2024</t>
        </is>
      </c>
      <c r="B187" s="1" t="n">
        <v>45487</v>
      </c>
      <c r="C187" s="1" t="n">
        <v>46191</v>
      </c>
      <c r="D187" t="inlineStr">
        <is>
          <t>ÖREBRO LÄN</t>
        </is>
      </c>
      <c r="E187" t="inlineStr">
        <is>
          <t>HALLSBERG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57766-2025</t>
        </is>
      </c>
      <c r="B188" s="1" t="n">
        <v>45981</v>
      </c>
      <c r="C188" s="1" t="n">
        <v>46191</v>
      </c>
      <c r="D188" t="inlineStr">
        <is>
          <t>ÖREBRO LÄN</t>
        </is>
      </c>
      <c r="E188" t="inlineStr">
        <is>
          <t>HALLSBERG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54679-2023</t>
        </is>
      </c>
      <c r="B189" s="1" t="n">
        <v>45235</v>
      </c>
      <c r="C189" s="1" t="n">
        <v>46191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36591-2021</t>
        </is>
      </c>
      <c r="B190" s="1" t="n">
        <v>44391</v>
      </c>
      <c r="C190" s="1" t="n">
        <v>46191</v>
      </c>
      <c r="D190" t="inlineStr">
        <is>
          <t>ÖREBRO LÄN</t>
        </is>
      </c>
      <c r="E190" t="inlineStr">
        <is>
          <t>HALLSBERG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59165-2025</t>
        </is>
      </c>
      <c r="B191" s="1" t="n">
        <v>45988</v>
      </c>
      <c r="C191" s="1" t="n">
        <v>46191</v>
      </c>
      <c r="D191" t="inlineStr">
        <is>
          <t>ÖREBRO LÄN</t>
        </is>
      </c>
      <c r="E191" t="inlineStr">
        <is>
          <t>HALLSBERG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59049-2025</t>
        </is>
      </c>
      <c r="B192" s="1" t="n">
        <v>45988</v>
      </c>
      <c r="C192" s="1" t="n">
        <v>46191</v>
      </c>
      <c r="D192" t="inlineStr">
        <is>
          <t>ÖREBRO LÄN</t>
        </is>
      </c>
      <c r="E192" t="inlineStr">
        <is>
          <t>HALLSBERG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12133-2023</t>
        </is>
      </c>
      <c r="B193" s="1" t="n">
        <v>44998</v>
      </c>
      <c r="C193" s="1" t="n">
        <v>46191</v>
      </c>
      <c r="D193" t="inlineStr">
        <is>
          <t>ÖREBRO LÄN</t>
        </is>
      </c>
      <c r="E193" t="inlineStr">
        <is>
          <t>HALLSBERG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10863-2022</t>
        </is>
      </c>
      <c r="B194" s="1" t="n">
        <v>44627</v>
      </c>
      <c r="C194" s="1" t="n">
        <v>46191</v>
      </c>
      <c r="D194" t="inlineStr">
        <is>
          <t>ÖREBRO LÄN</t>
        </is>
      </c>
      <c r="E194" t="inlineStr">
        <is>
          <t>HALLSBERG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37723-2023</t>
        </is>
      </c>
      <c r="B195" s="1" t="n">
        <v>45159</v>
      </c>
      <c r="C195" s="1" t="n">
        <v>46191</v>
      </c>
      <c r="D195" t="inlineStr">
        <is>
          <t>ÖREBRO LÄN</t>
        </is>
      </c>
      <c r="E195" t="inlineStr">
        <is>
          <t>HALLSBERG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23928-2026</t>
        </is>
      </c>
      <c r="B196" s="1" t="n">
        <v>46167</v>
      </c>
      <c r="C196" s="1" t="n">
        <v>46191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29908-2024</t>
        </is>
      </c>
      <c r="B197" s="1" t="n">
        <v>45487</v>
      </c>
      <c r="C197" s="1" t="n">
        <v>46191</v>
      </c>
      <c r="D197" t="inlineStr">
        <is>
          <t>ÖREBRO LÄN</t>
        </is>
      </c>
      <c r="E197" t="inlineStr">
        <is>
          <t>HALLSBERG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59861-2025</t>
        </is>
      </c>
      <c r="B198" s="1" t="n">
        <v>45992</v>
      </c>
      <c r="C198" s="1" t="n">
        <v>46191</v>
      </c>
      <c r="D198" t="inlineStr">
        <is>
          <t>ÖREBRO LÄN</t>
        </is>
      </c>
      <c r="E198" t="inlineStr">
        <is>
          <t>HALLSBERG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8869-2022</t>
        </is>
      </c>
      <c r="B199" s="1" t="n">
        <v>44614</v>
      </c>
      <c r="C199" s="1" t="n">
        <v>46191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8606-2022</t>
        </is>
      </c>
      <c r="B200" s="1" t="n">
        <v>44610</v>
      </c>
      <c r="C200" s="1" t="n">
        <v>46191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60558-2025</t>
        </is>
      </c>
      <c r="B201" s="1" t="n">
        <v>45995</v>
      </c>
      <c r="C201" s="1" t="n">
        <v>46191</v>
      </c>
      <c r="D201" t="inlineStr">
        <is>
          <t>ÖREBRO LÄN</t>
        </is>
      </c>
      <c r="E201" t="inlineStr">
        <is>
          <t>HALLSBERG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13168-2023</t>
        </is>
      </c>
      <c r="B202" s="1" t="n">
        <v>45002</v>
      </c>
      <c r="C202" s="1" t="n">
        <v>46191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8278-2023</t>
        </is>
      </c>
      <c r="B203" s="1" t="n">
        <v>44974</v>
      </c>
      <c r="C203" s="1" t="n">
        <v>46191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44210-2022</t>
        </is>
      </c>
      <c r="B204" s="1" t="n">
        <v>44839</v>
      </c>
      <c r="C204" s="1" t="n">
        <v>46191</v>
      </c>
      <c r="D204" t="inlineStr">
        <is>
          <t>ÖREBRO LÄN</t>
        </is>
      </c>
      <c r="E204" t="inlineStr">
        <is>
          <t>HALLSBERG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43679-2022</t>
        </is>
      </c>
      <c r="B205" s="1" t="n">
        <v>44837</v>
      </c>
      <c r="C205" s="1" t="n">
        <v>46191</v>
      </c>
      <c r="D205" t="inlineStr">
        <is>
          <t>ÖREBRO LÄN</t>
        </is>
      </c>
      <c r="E205" t="inlineStr">
        <is>
          <t>HALLSBERG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12053-2022</t>
        </is>
      </c>
      <c r="B206" s="1" t="n">
        <v>44636</v>
      </c>
      <c r="C206" s="1" t="n">
        <v>46191</v>
      </c>
      <c r="D206" t="inlineStr">
        <is>
          <t>ÖREBRO LÄN</t>
        </is>
      </c>
      <c r="E206" t="inlineStr">
        <is>
          <t>HALLSBERG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61526-2025</t>
        </is>
      </c>
      <c r="B207" s="1" t="n">
        <v>46001</v>
      </c>
      <c r="C207" s="1" t="n">
        <v>46191</v>
      </c>
      <c r="D207" t="inlineStr">
        <is>
          <t>ÖREBRO LÄN</t>
        </is>
      </c>
      <c r="E207" t="inlineStr">
        <is>
          <t>HALLSBERG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31480-2021</t>
        </is>
      </c>
      <c r="B208" s="1" t="n">
        <v>44369</v>
      </c>
      <c r="C208" s="1" t="n">
        <v>46191</v>
      </c>
      <c r="D208" t="inlineStr">
        <is>
          <t>ÖREBRO LÄN</t>
        </is>
      </c>
      <c r="E208" t="inlineStr">
        <is>
          <t>HALLSBERG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12018-2025</t>
        </is>
      </c>
      <c r="B209" s="1" t="n">
        <v>45728</v>
      </c>
      <c r="C209" s="1" t="n">
        <v>46191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25119-2026</t>
        </is>
      </c>
      <c r="B210" s="1" t="n">
        <v>46175</v>
      </c>
      <c r="C210" s="1" t="n">
        <v>46191</v>
      </c>
      <c r="D210" t="inlineStr">
        <is>
          <t>ÖREBRO LÄN</t>
        </is>
      </c>
      <c r="E210" t="inlineStr">
        <is>
          <t>HALLSBERG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46580-2024</t>
        </is>
      </c>
      <c r="B211" s="1" t="n">
        <v>45582</v>
      </c>
      <c r="C211" s="1" t="n">
        <v>46191</v>
      </c>
      <c r="D211" t="inlineStr">
        <is>
          <t>ÖREBRO LÄN</t>
        </is>
      </c>
      <c r="E211" t="inlineStr">
        <is>
          <t>HALLSBERG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14288-2023</t>
        </is>
      </c>
      <c r="B212" s="1" t="n">
        <v>45010</v>
      </c>
      <c r="C212" s="1" t="n">
        <v>46191</v>
      </c>
      <c r="D212" t="inlineStr">
        <is>
          <t>ÖREBRO LÄN</t>
        </is>
      </c>
      <c r="E212" t="inlineStr">
        <is>
          <t>HALLSBERG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19751-2024</t>
        </is>
      </c>
      <c r="B213" s="1" t="n">
        <v>45432</v>
      </c>
      <c r="C213" s="1" t="n">
        <v>46191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1413-2025</t>
        </is>
      </c>
      <c r="B214" s="1" t="n">
        <v>45668</v>
      </c>
      <c r="C214" s="1" t="n">
        <v>46191</v>
      </c>
      <c r="D214" t="inlineStr">
        <is>
          <t>ÖREBRO LÄN</t>
        </is>
      </c>
      <c r="E214" t="inlineStr">
        <is>
          <t>HALLSBERG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37717-2025</t>
        </is>
      </c>
      <c r="B215" s="1" t="n">
        <v>45880</v>
      </c>
      <c r="C215" s="1" t="n">
        <v>46191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46235-2023</t>
        </is>
      </c>
      <c r="B216" s="1" t="n">
        <v>45196</v>
      </c>
      <c r="C216" s="1" t="n">
        <v>46191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31290-2023</t>
        </is>
      </c>
      <c r="B217" s="1" t="n">
        <v>45114</v>
      </c>
      <c r="C217" s="1" t="n">
        <v>46191</v>
      </c>
      <c r="D217" t="inlineStr">
        <is>
          <t>ÖREBRO LÄN</t>
        </is>
      </c>
      <c r="E217" t="inlineStr">
        <is>
          <t>HALLSBERG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37277-2024</t>
        </is>
      </c>
      <c r="B218" s="1" t="n">
        <v>45540</v>
      </c>
      <c r="C218" s="1" t="n">
        <v>46191</v>
      </c>
      <c r="D218" t="inlineStr">
        <is>
          <t>ÖREBRO LÄN</t>
        </is>
      </c>
      <c r="E218" t="inlineStr">
        <is>
          <t>HALLSBERG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46191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37718-2025</t>
        </is>
      </c>
      <c r="B220" s="1" t="n">
        <v>45880</v>
      </c>
      <c r="C220" s="1" t="n">
        <v>46191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9645-2024</t>
        </is>
      </c>
      <c r="B221" s="1" t="n">
        <v>45362</v>
      </c>
      <c r="C221" s="1" t="n">
        <v>46191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7784-2024</t>
        </is>
      </c>
      <c r="B222" s="1" t="n">
        <v>45349</v>
      </c>
      <c r="C222" s="1" t="n">
        <v>46191</v>
      </c>
      <c r="D222" t="inlineStr">
        <is>
          <t>ÖREBRO LÄN</t>
        </is>
      </c>
      <c r="E222" t="inlineStr">
        <is>
          <t>HALLSBERG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7788-2024</t>
        </is>
      </c>
      <c r="B223" s="1" t="n">
        <v>45349</v>
      </c>
      <c r="C223" s="1" t="n">
        <v>46191</v>
      </c>
      <c r="D223" t="inlineStr">
        <is>
          <t>ÖREBRO LÄN</t>
        </is>
      </c>
      <c r="E223" t="inlineStr">
        <is>
          <t>HALLSBERG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9414-2022</t>
        </is>
      </c>
      <c r="B224" s="1" t="n">
        <v>44616</v>
      </c>
      <c r="C224" s="1" t="n">
        <v>46191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46191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19709-2024</t>
        </is>
      </c>
      <c r="B226" s="1" t="n">
        <v>45432</v>
      </c>
      <c r="C226" s="1" t="n">
        <v>46191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37321-2025</t>
        </is>
      </c>
      <c r="B227" s="1" t="n">
        <v>45876</v>
      </c>
      <c r="C227" s="1" t="n">
        <v>46191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40065-2025</t>
        </is>
      </c>
      <c r="B228" s="1" t="n">
        <v>45894</v>
      </c>
      <c r="C228" s="1" t="n">
        <v>46191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49684-2022</t>
        </is>
      </c>
      <c r="B229" s="1" t="n">
        <v>44862</v>
      </c>
      <c r="C229" s="1" t="n">
        <v>46191</v>
      </c>
      <c r="D229" t="inlineStr">
        <is>
          <t>ÖREBRO LÄN</t>
        </is>
      </c>
      <c r="E229" t="inlineStr">
        <is>
          <t>HALLSBERG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34527-2024</t>
        </is>
      </c>
      <c r="B230" s="1" t="n">
        <v>45525</v>
      </c>
      <c r="C230" s="1" t="n">
        <v>46191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51479-2022</t>
        </is>
      </c>
      <c r="B231" s="1" t="n">
        <v>44869</v>
      </c>
      <c r="C231" s="1" t="n">
        <v>46191</v>
      </c>
      <c r="D231" t="inlineStr">
        <is>
          <t>ÖREBRO LÄN</t>
        </is>
      </c>
      <c r="E231" t="inlineStr">
        <is>
          <t>HALLSBERG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6366-2024</t>
        </is>
      </c>
      <c r="B232" s="1" t="n">
        <v>45338</v>
      </c>
      <c r="C232" s="1" t="n">
        <v>46191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46862-2024</t>
        </is>
      </c>
      <c r="B233" s="1" t="n">
        <v>45583</v>
      </c>
      <c r="C233" s="1" t="n">
        <v>46191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56270-2023</t>
        </is>
      </c>
      <c r="B234" s="1" t="n">
        <v>45240</v>
      </c>
      <c r="C234" s="1" t="n">
        <v>46191</v>
      </c>
      <c r="D234" t="inlineStr">
        <is>
          <t>ÖREBRO LÄN</t>
        </is>
      </c>
      <c r="E234" t="inlineStr">
        <is>
          <t>HALLSBERG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60082-2023</t>
        </is>
      </c>
      <c r="B235" s="1" t="n">
        <v>45258</v>
      </c>
      <c r="C235" s="1" t="n">
        <v>46191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26301-2026</t>
        </is>
      </c>
      <c r="B236" s="1" t="n">
        <v>46182</v>
      </c>
      <c r="C236" s="1" t="n">
        <v>46191</v>
      </c>
      <c r="D236" t="inlineStr">
        <is>
          <t>ÖREBRO LÄN</t>
        </is>
      </c>
      <c r="E236" t="inlineStr">
        <is>
          <t>HALLSBERG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9569-2023</t>
        </is>
      </c>
      <c r="B237" s="1" t="n">
        <v>44982</v>
      </c>
      <c r="C237" s="1" t="n">
        <v>46191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1793-2026</t>
        </is>
      </c>
      <c r="B238" s="1" t="n">
        <v>46034</v>
      </c>
      <c r="C238" s="1" t="n">
        <v>46191</v>
      </c>
      <c r="D238" t="inlineStr">
        <is>
          <t>ÖREBRO LÄN</t>
        </is>
      </c>
      <c r="E238" t="inlineStr">
        <is>
          <t>HALLSBERG</t>
        </is>
      </c>
      <c r="G238" t="n">
        <v>23.5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53012-2023</t>
        </is>
      </c>
      <c r="B239" s="1" t="n">
        <v>45226</v>
      </c>
      <c r="C239" s="1" t="n">
        <v>46191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26294-2026</t>
        </is>
      </c>
      <c r="B240" s="1" t="n">
        <v>46182</v>
      </c>
      <c r="C240" s="1" t="n">
        <v>46191</v>
      </c>
      <c r="D240" t="inlineStr">
        <is>
          <t>ÖREBRO LÄN</t>
        </is>
      </c>
      <c r="E240" t="inlineStr">
        <is>
          <t>HALLSBERG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50891-2024</t>
        </is>
      </c>
      <c r="B241" s="1" t="n">
        <v>45602</v>
      </c>
      <c r="C241" s="1" t="n">
        <v>46191</v>
      </c>
      <c r="D241" t="inlineStr">
        <is>
          <t>ÖREBRO LÄN</t>
        </is>
      </c>
      <c r="E241" t="inlineStr">
        <is>
          <t>HALLSBERG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17700-2025</t>
        </is>
      </c>
      <c r="B242" s="1" t="n">
        <v>45758</v>
      </c>
      <c r="C242" s="1" t="n">
        <v>46191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46835-2024</t>
        </is>
      </c>
      <c r="B243" s="1" t="n">
        <v>45583</v>
      </c>
      <c r="C243" s="1" t="n">
        <v>46191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41278-2024</t>
        </is>
      </c>
      <c r="B244" s="1" t="n">
        <v>45559</v>
      </c>
      <c r="C244" s="1" t="n">
        <v>46191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40968-2023</t>
        </is>
      </c>
      <c r="B245" s="1" t="n">
        <v>45173</v>
      </c>
      <c r="C245" s="1" t="n">
        <v>46191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46863-2024</t>
        </is>
      </c>
      <c r="B246" s="1" t="n">
        <v>45583</v>
      </c>
      <c r="C246" s="1" t="n">
        <v>46191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18893-2024</t>
        </is>
      </c>
      <c r="B247" s="1" t="n">
        <v>45427</v>
      </c>
      <c r="C247" s="1" t="n">
        <v>46191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14934-2024</t>
        </is>
      </c>
      <c r="B248" s="1" t="n">
        <v>45398</v>
      </c>
      <c r="C248" s="1" t="n">
        <v>46191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40072-2025</t>
        </is>
      </c>
      <c r="B249" s="1" t="n">
        <v>45894</v>
      </c>
      <c r="C249" s="1" t="n">
        <v>46191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36619-2025</t>
        </is>
      </c>
      <c r="B250" s="1" t="n">
        <v>45870</v>
      </c>
      <c r="C250" s="1" t="n">
        <v>46191</v>
      </c>
      <c r="D250" t="inlineStr">
        <is>
          <t>ÖREBRO LÄN</t>
        </is>
      </c>
      <c r="E250" t="inlineStr">
        <is>
          <t>HALLSBERG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17003-2022</t>
        </is>
      </c>
      <c r="B251" s="1" t="n">
        <v>44676</v>
      </c>
      <c r="C251" s="1" t="n">
        <v>46191</v>
      </c>
      <c r="D251" t="inlineStr">
        <is>
          <t>ÖREBRO LÄN</t>
        </is>
      </c>
      <c r="E251" t="inlineStr">
        <is>
          <t>HALLSBERG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44811-2023</t>
        </is>
      </c>
      <c r="B252" s="1" t="n">
        <v>45190</v>
      </c>
      <c r="C252" s="1" t="n">
        <v>46191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56271-2023</t>
        </is>
      </c>
      <c r="B253" s="1" t="n">
        <v>45240</v>
      </c>
      <c r="C253" s="1" t="n">
        <v>46191</v>
      </c>
      <c r="D253" t="inlineStr">
        <is>
          <t>ÖREBRO LÄN</t>
        </is>
      </c>
      <c r="E253" t="inlineStr">
        <is>
          <t>HALLSBERG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31893-2022</t>
        </is>
      </c>
      <c r="B254" s="1" t="n">
        <v>44777</v>
      </c>
      <c r="C254" s="1" t="n">
        <v>46191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18891-2024</t>
        </is>
      </c>
      <c r="B255" s="1" t="n">
        <v>45427</v>
      </c>
      <c r="C255" s="1" t="n">
        <v>46191</v>
      </c>
      <c r="D255" t="inlineStr">
        <is>
          <t>ÖREBRO LÄN</t>
        </is>
      </c>
      <c r="E255" t="inlineStr">
        <is>
          <t>HALLSBERG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4587-2023</t>
        </is>
      </c>
      <c r="B256" s="1" t="n">
        <v>44956</v>
      </c>
      <c r="C256" s="1" t="n">
        <v>46191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63912-2025</t>
        </is>
      </c>
      <c r="B257" s="1" t="n">
        <v>46020</v>
      </c>
      <c r="C257" s="1" t="n">
        <v>46191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27614-2026</t>
        </is>
      </c>
      <c r="B258" s="1" t="n">
        <v>46190</v>
      </c>
      <c r="C258" s="1" t="n">
        <v>46191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52710-2023</t>
        </is>
      </c>
      <c r="B259" s="1" t="n">
        <v>45225</v>
      </c>
      <c r="C259" s="1" t="n">
        <v>46191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63213-2023</t>
        </is>
      </c>
      <c r="B260" s="1" t="n">
        <v>45272</v>
      </c>
      <c r="C260" s="1" t="n">
        <v>46191</v>
      </c>
      <c r="D260" t="inlineStr">
        <is>
          <t>ÖREBRO LÄN</t>
        </is>
      </c>
      <c r="E260" t="inlineStr">
        <is>
          <t>HALLSBERG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52707-2023</t>
        </is>
      </c>
      <c r="B261" s="1" t="n">
        <v>45225</v>
      </c>
      <c r="C261" s="1" t="n">
        <v>46191</v>
      </c>
      <c r="D261" t="inlineStr">
        <is>
          <t>ÖREBRO LÄN</t>
        </is>
      </c>
      <c r="E261" t="inlineStr">
        <is>
          <t>HALLSBERG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28535-2024</t>
        </is>
      </c>
      <c r="B262" s="1" t="n">
        <v>45478</v>
      </c>
      <c r="C262" s="1" t="n">
        <v>46191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17016-2023</t>
        </is>
      </c>
      <c r="B263" s="1" t="n">
        <v>45034</v>
      </c>
      <c r="C263" s="1" t="n">
        <v>46191</v>
      </c>
      <c r="D263" t="inlineStr">
        <is>
          <t>ÖREBRO LÄN</t>
        </is>
      </c>
      <c r="E263" t="inlineStr">
        <is>
          <t>HALLSBERG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32536-2024</t>
        </is>
      </c>
      <c r="B264" s="1" t="n">
        <v>45513</v>
      </c>
      <c r="C264" s="1" t="n">
        <v>46191</v>
      </c>
      <c r="D264" t="inlineStr">
        <is>
          <t>ÖREBRO LÄN</t>
        </is>
      </c>
      <c r="E264" t="inlineStr">
        <is>
          <t>HALLSBERG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9073-2023</t>
        </is>
      </c>
      <c r="B265" s="1" t="n">
        <v>44979</v>
      </c>
      <c r="C265" s="1" t="n">
        <v>46191</v>
      </c>
      <c r="D265" t="inlineStr">
        <is>
          <t>ÖREBRO LÄN</t>
        </is>
      </c>
      <c r="E265" t="inlineStr">
        <is>
          <t>HALLSBERG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50893-2024</t>
        </is>
      </c>
      <c r="B266" s="1" t="n">
        <v>45602</v>
      </c>
      <c r="C266" s="1" t="n">
        <v>46191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41595-2022</t>
        </is>
      </c>
      <c r="B267" s="1" t="n">
        <v>44827</v>
      </c>
      <c r="C267" s="1" t="n">
        <v>46191</v>
      </c>
      <c r="D267" t="inlineStr">
        <is>
          <t>ÖREBRO LÄN</t>
        </is>
      </c>
      <c r="E267" t="inlineStr">
        <is>
          <t>HALLSBERG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53247-2024</t>
        </is>
      </c>
      <c r="B268" s="1" t="n">
        <v>45614</v>
      </c>
      <c r="C268" s="1" t="n">
        <v>46191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37698-2023</t>
        </is>
      </c>
      <c r="B269" s="1" t="n">
        <v>45159</v>
      </c>
      <c r="C269" s="1" t="n">
        <v>46191</v>
      </c>
      <c r="D269" t="inlineStr">
        <is>
          <t>ÖREBRO LÄN</t>
        </is>
      </c>
      <c r="E269" t="inlineStr">
        <is>
          <t>HALLSBERG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19750-2024</t>
        </is>
      </c>
      <c r="B270" s="1" t="n">
        <v>45432</v>
      </c>
      <c r="C270" s="1" t="n">
        <v>46191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44616-2024</t>
        </is>
      </c>
      <c r="B271" s="1" t="n">
        <v>45574</v>
      </c>
      <c r="C271" s="1" t="n">
        <v>46191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34227-2022</t>
        </is>
      </c>
      <c r="B272" s="1" t="n">
        <v>44791</v>
      </c>
      <c r="C272" s="1" t="n">
        <v>46191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46602-2024</t>
        </is>
      </c>
      <c r="B273" s="1" t="n">
        <v>45582</v>
      </c>
      <c r="C273" s="1" t="n">
        <v>46191</v>
      </c>
      <c r="D273" t="inlineStr">
        <is>
          <t>ÖREBRO LÄN</t>
        </is>
      </c>
      <c r="E273" t="inlineStr">
        <is>
          <t>HALLSBERG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2910-2025</t>
        </is>
      </c>
      <c r="B274" s="1" t="n">
        <v>45677</v>
      </c>
      <c r="C274" s="1" t="n">
        <v>46191</v>
      </c>
      <c r="D274" t="inlineStr">
        <is>
          <t>ÖREBRO LÄN</t>
        </is>
      </c>
      <c r="E274" t="inlineStr">
        <is>
          <t>HALLSBERG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41886-2023</t>
        </is>
      </c>
      <c r="B275" s="1" t="n">
        <v>45176</v>
      </c>
      <c r="C275" s="1" t="n">
        <v>46191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24624-2023</t>
        </is>
      </c>
      <c r="B276" s="1" t="n">
        <v>45084</v>
      </c>
      <c r="C276" s="1" t="n">
        <v>46191</v>
      </c>
      <c r="D276" t="inlineStr">
        <is>
          <t>ÖREBRO LÄN</t>
        </is>
      </c>
      <c r="E276" t="inlineStr">
        <is>
          <t>HALLSBERG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26842-2025</t>
        </is>
      </c>
      <c r="B277" s="1" t="n">
        <v>45810</v>
      </c>
      <c r="C277" s="1" t="n">
        <v>46191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27148-2025</t>
        </is>
      </c>
      <c r="B278" s="1" t="n">
        <v>45812</v>
      </c>
      <c r="C278" s="1" t="n">
        <v>46191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27146-2025</t>
        </is>
      </c>
      <c r="B279" s="1" t="n">
        <v>45812</v>
      </c>
      <c r="C279" s="1" t="n">
        <v>46191</v>
      </c>
      <c r="D279" t="inlineStr">
        <is>
          <t>ÖREBRO LÄN</t>
        </is>
      </c>
      <c r="E279" t="inlineStr">
        <is>
          <t>HALLSBERG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27147-2025</t>
        </is>
      </c>
      <c r="B280" s="1" t="n">
        <v>45812</v>
      </c>
      <c r="C280" s="1" t="n">
        <v>46191</v>
      </c>
      <c r="D280" t="inlineStr">
        <is>
          <t>ÖREBRO LÄN</t>
        </is>
      </c>
      <c r="E280" t="inlineStr">
        <is>
          <t>HALLSBERG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4443-2025</t>
        </is>
      </c>
      <c r="B281" s="1" t="n">
        <v>45686</v>
      </c>
      <c r="C281" s="1" t="n">
        <v>46191</v>
      </c>
      <c r="D281" t="inlineStr">
        <is>
          <t>ÖREBRO LÄN</t>
        </is>
      </c>
      <c r="E281" t="inlineStr">
        <is>
          <t>HALLSBERG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40887-2023</t>
        </is>
      </c>
      <c r="B282" s="1" t="n">
        <v>45173</v>
      </c>
      <c r="C282" s="1" t="n">
        <v>46191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8252-2022</t>
        </is>
      </c>
      <c r="B283" s="1" t="n">
        <v>44610</v>
      </c>
      <c r="C283" s="1" t="n">
        <v>46191</v>
      </c>
      <c r="D283" t="inlineStr">
        <is>
          <t>ÖREBRO LÄN</t>
        </is>
      </c>
      <c r="E283" t="inlineStr">
        <is>
          <t>HALLSBERG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5604-2023</t>
        </is>
      </c>
      <c r="B284" s="1" t="n">
        <v>44960</v>
      </c>
      <c r="C284" s="1" t="n">
        <v>46191</v>
      </c>
      <c r="D284" t="inlineStr">
        <is>
          <t>ÖREBRO LÄN</t>
        </is>
      </c>
      <c r="E284" t="inlineStr">
        <is>
          <t>HALLSBERG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5608-2023</t>
        </is>
      </c>
      <c r="B285" s="1" t="n">
        <v>44960</v>
      </c>
      <c r="C285" s="1" t="n">
        <v>46191</v>
      </c>
      <c r="D285" t="inlineStr">
        <is>
          <t>ÖREBRO LÄN</t>
        </is>
      </c>
      <c r="E285" t="inlineStr">
        <is>
          <t>HALLSBERG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27659-2025</t>
        </is>
      </c>
      <c r="B286" s="1" t="n">
        <v>45813</v>
      </c>
      <c r="C286" s="1" t="n">
        <v>46191</v>
      </c>
      <c r="D286" t="inlineStr">
        <is>
          <t>ÖREBRO LÄN</t>
        </is>
      </c>
      <c r="E286" t="inlineStr">
        <is>
          <t>HALLSBERG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61448-2022</t>
        </is>
      </c>
      <c r="B287" s="1" t="n">
        <v>44916</v>
      </c>
      <c r="C287" s="1" t="n">
        <v>46191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61057-2023</t>
        </is>
      </c>
      <c r="B288" s="1" t="n">
        <v>45261</v>
      </c>
      <c r="C288" s="1" t="n">
        <v>46191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61058-2023</t>
        </is>
      </c>
      <c r="B289" s="1" t="n">
        <v>45261</v>
      </c>
      <c r="C289" s="1" t="n">
        <v>46191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33729-2025</t>
        </is>
      </c>
      <c r="B290" s="1" t="n">
        <v>45842</v>
      </c>
      <c r="C290" s="1" t="n">
        <v>46191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69230-2021</t>
        </is>
      </c>
      <c r="B291" s="1" t="n">
        <v>44531</v>
      </c>
      <c r="C291" s="1" t="n">
        <v>46191</v>
      </c>
      <c r="D291" t="inlineStr">
        <is>
          <t>ÖREBRO LÄN</t>
        </is>
      </c>
      <c r="E291" t="inlineStr">
        <is>
          <t>HALLSBERG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59176-2021</t>
        </is>
      </c>
      <c r="B292" s="1" t="n">
        <v>44490</v>
      </c>
      <c r="C292" s="1" t="n">
        <v>46191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33252-2024</t>
        </is>
      </c>
      <c r="B293" s="1" t="n">
        <v>45518</v>
      </c>
      <c r="C293" s="1" t="n">
        <v>46191</v>
      </c>
      <c r="D293" t="inlineStr">
        <is>
          <t>ÖREBRO LÄN</t>
        </is>
      </c>
      <c r="E293" t="inlineStr">
        <is>
          <t>HALLSBERG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</v>
      </c>
      <c r="C294" s="1" t="n">
        <v>46191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45300-2024</t>
        </is>
      </c>
      <c r="B295" s="1" t="n">
        <v>45576</v>
      </c>
      <c r="C295" s="1" t="n">
        <v>46191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60685-2021</t>
        </is>
      </c>
      <c r="B296" s="1" t="n">
        <v>44496</v>
      </c>
      <c r="C296" s="1" t="n">
        <v>46191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6763-2024</t>
        </is>
      </c>
      <c r="B297" s="1" t="n">
        <v>45342</v>
      </c>
      <c r="C297" s="1" t="n">
        <v>46191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15591-2025</t>
        </is>
      </c>
      <c r="B298" s="1" t="n">
        <v>45747</v>
      </c>
      <c r="C298" s="1" t="n">
        <v>46191</v>
      </c>
      <c r="D298" t="inlineStr">
        <is>
          <t>ÖREBRO LÄN</t>
        </is>
      </c>
      <c r="E298" t="inlineStr">
        <is>
          <t>HALLSBERG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36789-2025</t>
        </is>
      </c>
      <c r="B299" s="1" t="n">
        <v>45873</v>
      </c>
      <c r="C299" s="1" t="n">
        <v>46191</v>
      </c>
      <c r="D299" t="inlineStr">
        <is>
          <t>ÖREBRO LÄN</t>
        </is>
      </c>
      <c r="E299" t="inlineStr">
        <is>
          <t>HALLSBERG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37054-2025</t>
        </is>
      </c>
      <c r="B300" s="1" t="n">
        <v>45875</v>
      </c>
      <c r="C300" s="1" t="n">
        <v>46191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37229-2025</t>
        </is>
      </c>
      <c r="B301" s="1" t="n">
        <v>45876</v>
      </c>
      <c r="C301" s="1" t="n">
        <v>46191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37228-2025</t>
        </is>
      </c>
      <c r="B302" s="1" t="n">
        <v>45876</v>
      </c>
      <c r="C302" s="1" t="n">
        <v>46191</v>
      </c>
      <c r="D302" t="inlineStr">
        <is>
          <t>ÖREBRO LÄN</t>
        </is>
      </c>
      <c r="E302" t="inlineStr">
        <is>
          <t>HALLSBERG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28537-2024</t>
        </is>
      </c>
      <c r="B303" s="1" t="n">
        <v>45478</v>
      </c>
      <c r="C303" s="1" t="n">
        <v>46191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37601-2025</t>
        </is>
      </c>
      <c r="B304" s="1" t="n">
        <v>45880</v>
      </c>
      <c r="C304" s="1" t="n">
        <v>46191</v>
      </c>
      <c r="D304" t="inlineStr">
        <is>
          <t>ÖREBRO LÄN</t>
        </is>
      </c>
      <c r="E304" t="inlineStr">
        <is>
          <t>HALLSBERG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38008-2025</t>
        </is>
      </c>
      <c r="B305" s="1" t="n">
        <v>45882</v>
      </c>
      <c r="C305" s="1" t="n">
        <v>46191</v>
      </c>
      <c r="D305" t="inlineStr">
        <is>
          <t>ÖREBRO LÄN</t>
        </is>
      </c>
      <c r="E305" t="inlineStr">
        <is>
          <t>HALLSBERG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38179-2025</t>
        </is>
      </c>
      <c r="B306" s="1" t="n">
        <v>45882</v>
      </c>
      <c r="C306" s="1" t="n">
        <v>46191</v>
      </c>
      <c r="D306" t="inlineStr">
        <is>
          <t>ÖREBRO LÄN</t>
        </is>
      </c>
      <c r="E306" t="inlineStr">
        <is>
          <t>HALLSBERG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14676-2024</t>
        </is>
      </c>
      <c r="B307" s="1" t="n">
        <v>45397</v>
      </c>
      <c r="C307" s="1" t="n">
        <v>46191</v>
      </c>
      <c r="D307" t="inlineStr">
        <is>
          <t>ÖREBRO LÄN</t>
        </is>
      </c>
      <c r="E307" t="inlineStr">
        <is>
          <t>HALLSBERG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9663-2023</t>
        </is>
      </c>
      <c r="B308" s="1" t="n">
        <v>44978</v>
      </c>
      <c r="C308" s="1" t="n">
        <v>46191</v>
      </c>
      <c r="D308" t="inlineStr">
        <is>
          <t>ÖREBRO LÄN</t>
        </is>
      </c>
      <c r="E308" t="inlineStr">
        <is>
          <t>HALLSBERG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2026-06-18T13:20:40Z</dcterms:created>
  <dcterms:modified xmlns:dcterms="http://purl.org/dc/terms/" xmlns:xsi="http://www.w3.org/2001/XMLSchema-instance" xsi:type="dcterms:W3CDTF">2026-06-18T13:20:40Z</dcterms:modified>
</cp:coreProperties>
</file>