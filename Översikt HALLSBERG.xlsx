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45568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45568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45568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45568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45568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45568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45568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45568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45568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45568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45568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45568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45568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45568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45568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45568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45568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45568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45568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45568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45568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45568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45568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45568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45568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45568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45568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45568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45568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45568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45568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45568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45568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45568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45568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45568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45568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45568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45568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45568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45568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45568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45568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45568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45568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45568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45568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45568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45568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45568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45568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45568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14620-2024</t>
        </is>
      </c>
      <c r="B54" s="1" t="n">
        <v>45397</v>
      </c>
      <c r="C54" s="1" t="n">
        <v>45568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14620-2024 artfynd.xlsx", "A 14620-2024")</f>
        <v/>
      </c>
      <c r="T54">
        <f>HYPERLINK("https://klasma.github.io/Logging_1861/kartor/A 14620-2024 karta.png", "A 14620-2024")</f>
        <v/>
      </c>
      <c r="V54">
        <f>HYPERLINK("https://klasma.github.io/Logging_1861/klagomål/A 14620-2024 FSC-klagomål.docx", "A 14620-2024")</f>
        <v/>
      </c>
      <c r="W54">
        <f>HYPERLINK("https://klasma.github.io/Logging_1861/klagomålsmail/A 14620-2024 FSC-klagomål mail.docx", "A 14620-2024")</f>
        <v/>
      </c>
      <c r="X54">
        <f>HYPERLINK("https://klasma.github.io/Logging_1861/tillsyn/A 14620-2024 tillsynsbegäran.docx", "A 14620-2024")</f>
        <v/>
      </c>
      <c r="Y54">
        <f>HYPERLINK("https://klasma.github.io/Logging_1861/tillsynsmail/A 14620-2024 tillsynsbegäran mail.docx", "A 14620-2024")</f>
        <v/>
      </c>
    </row>
    <row r="55" ht="15" customHeight="1">
      <c r="A55" t="inlineStr">
        <is>
          <t>A 14619-2024</t>
        </is>
      </c>
      <c r="B55" s="1" t="n">
        <v>45397</v>
      </c>
      <c r="C55" s="1" t="n">
        <v>45568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21314-2024</t>
        </is>
      </c>
      <c r="B56" s="1" t="n">
        <v>45440</v>
      </c>
      <c r="C56" s="1" t="n">
        <v>45568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21314-2024 artfynd.xlsx", "A 21314-2024")</f>
        <v/>
      </c>
      <c r="T56">
        <f>HYPERLINK("https://klasma.github.io/Logging_1861/kartor/A 21314-2024 karta.png", "A 21314-2024")</f>
        <v/>
      </c>
      <c r="V56">
        <f>HYPERLINK("https://klasma.github.io/Logging_1861/klagomål/A 21314-2024 FSC-klagomål.docx", "A 21314-2024")</f>
        <v/>
      </c>
      <c r="W56">
        <f>HYPERLINK("https://klasma.github.io/Logging_1861/klagomålsmail/A 21314-2024 FSC-klagomål mail.docx", "A 21314-2024")</f>
        <v/>
      </c>
      <c r="X56">
        <f>HYPERLINK("https://klasma.github.io/Logging_1861/tillsyn/A 21314-2024 tillsynsbegäran.docx", "A 21314-2024")</f>
        <v/>
      </c>
      <c r="Y56">
        <f>HYPERLINK("https://klasma.github.io/Logging_1861/tillsynsmail/A 21314-2024 tillsynsbegäran mail.docx", "A 21314-2024")</f>
        <v/>
      </c>
    </row>
    <row r="57" ht="15" customHeight="1">
      <c r="A57" t="inlineStr">
        <is>
          <t>A 32543-2024</t>
        </is>
      </c>
      <c r="B57" s="1" t="n">
        <v>45513</v>
      </c>
      <c r="C57" s="1" t="n">
        <v>45568</v>
      </c>
      <c r="D57" t="inlineStr">
        <is>
          <t>ÖREBRO LÄN</t>
        </is>
      </c>
      <c r="E57" t="inlineStr">
        <is>
          <t>HALLSBERG</t>
        </is>
      </c>
      <c r="G57" t="n">
        <v>10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HYPERLINK("https://klasma.github.io/Logging_1861/artfynd/A 32543-2024 artfynd.xlsx", "A 32543-2024")</f>
        <v/>
      </c>
      <c r="T57">
        <f>HYPERLINK("https://klasma.github.io/Logging_1861/kartor/A 32543-2024 karta.png", "A 32543-2024")</f>
        <v/>
      </c>
      <c r="V57">
        <f>HYPERLINK("https://klasma.github.io/Logging_1861/klagomål/A 32543-2024 FSC-klagomål.docx", "A 32543-2024")</f>
        <v/>
      </c>
      <c r="W57">
        <f>HYPERLINK("https://klasma.github.io/Logging_1861/klagomålsmail/A 32543-2024 FSC-klagomål mail.docx", "A 32543-2024")</f>
        <v/>
      </c>
      <c r="X57">
        <f>HYPERLINK("https://klasma.github.io/Logging_1861/tillsyn/A 32543-2024 tillsynsbegäran.docx", "A 32543-2024")</f>
        <v/>
      </c>
      <c r="Y57">
        <f>HYPERLINK("https://klasma.github.io/Logging_1861/tillsynsmail/A 32543-2024 tillsynsbegäran mail.docx", "A 32543-2024")</f>
        <v/>
      </c>
      <c r="Z57">
        <f>HYPERLINK("https://klasma.github.io/Logging_1861/fåglar/A 32543-2024 prioriterade fågelarter.docx", "A 32543-2024")</f>
        <v/>
      </c>
    </row>
    <row r="58" ht="15" customHeight="1">
      <c r="A58" t="inlineStr">
        <is>
          <t>A 32547-2024</t>
        </is>
      </c>
      <c r="B58" s="1" t="n">
        <v>45513</v>
      </c>
      <c r="C58" s="1" t="n">
        <v>45568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HYPERLINK("https://klasma.github.io/Logging_1861/artfynd/A 32547-2024 artfynd.xlsx", "A 32547-2024")</f>
        <v/>
      </c>
      <c r="T58">
        <f>HYPERLINK("https://klasma.github.io/Logging_1861/kartor/A 32547-2024 karta.png", "A 32547-2024")</f>
        <v/>
      </c>
      <c r="V58">
        <f>HYPERLINK("https://klasma.github.io/Logging_1861/klagomål/A 32547-2024 FSC-klagomål.docx", "A 32547-2024")</f>
        <v/>
      </c>
      <c r="W58">
        <f>HYPERLINK("https://klasma.github.io/Logging_1861/klagomålsmail/A 32547-2024 FSC-klagomål mail.docx", "A 32547-2024")</f>
        <v/>
      </c>
      <c r="X58">
        <f>HYPERLINK("https://klasma.github.io/Logging_1861/tillsyn/A 32547-2024 tillsynsbegäran.docx", "A 32547-2024")</f>
        <v/>
      </c>
      <c r="Y58">
        <f>HYPERLINK("https://klasma.github.io/Logging_1861/tillsynsmail/A 32547-2024 tillsynsbegäran mail.docx", "A 32547-2024")</f>
        <v/>
      </c>
    </row>
    <row r="59" ht="15" customHeight="1">
      <c r="A59" t="inlineStr">
        <is>
          <t>A 17632-2019</t>
        </is>
      </c>
      <c r="B59" s="1" t="n">
        <v>43556</v>
      </c>
      <c r="C59" s="1" t="n">
        <v>45568</v>
      </c>
      <c r="D59" t="inlineStr">
        <is>
          <t>ÖREBRO LÄN</t>
        </is>
      </c>
      <c r="E59" t="inlineStr">
        <is>
          <t>HALLSBERG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18331-2019</t>
        </is>
      </c>
      <c r="B60" s="1" t="n">
        <v>43558</v>
      </c>
      <c r="C60" s="1" t="n">
        <v>45568</v>
      </c>
      <c r="D60" t="inlineStr">
        <is>
          <t>ÖREBRO LÄN</t>
        </is>
      </c>
      <c r="E60" t="inlineStr">
        <is>
          <t>HALLSBERG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20150-2019</t>
        </is>
      </c>
      <c r="B61" s="1" t="n">
        <v>43570</v>
      </c>
      <c r="C61" s="1" t="n">
        <v>45568</v>
      </c>
      <c r="D61" t="inlineStr">
        <is>
          <t>ÖREBRO LÄN</t>
        </is>
      </c>
      <c r="E61" t="inlineStr">
        <is>
          <t>HALLSBERG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21409-2019</t>
        </is>
      </c>
      <c r="B62" s="1" t="n">
        <v>43580</v>
      </c>
      <c r="C62" s="1" t="n">
        <v>45568</v>
      </c>
      <c r="D62" t="inlineStr">
        <is>
          <t>ÖREBRO LÄN</t>
        </is>
      </c>
      <c r="E62" t="inlineStr">
        <is>
          <t>HALLSBERG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22012-2019</t>
        </is>
      </c>
      <c r="B63" s="1" t="n">
        <v>43584</v>
      </c>
      <c r="C63" s="1" t="n">
        <v>45568</v>
      </c>
      <c r="D63" t="inlineStr">
        <is>
          <t>ÖREBRO LÄN</t>
        </is>
      </c>
      <c r="E63" t="inlineStr">
        <is>
          <t>HALLSBERG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22251-2019</t>
        </is>
      </c>
      <c r="B64" s="1" t="n">
        <v>43585</v>
      </c>
      <c r="C64" s="1" t="n">
        <v>45568</v>
      </c>
      <c r="D64" t="inlineStr">
        <is>
          <t>ÖREBRO LÄN</t>
        </is>
      </c>
      <c r="E64" t="inlineStr">
        <is>
          <t>HALLSBERG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24729-2019</t>
        </is>
      </c>
      <c r="B65" s="1" t="n">
        <v>43601</v>
      </c>
      <c r="C65" s="1" t="n">
        <v>45568</v>
      </c>
      <c r="D65" t="inlineStr">
        <is>
          <t>ÖREBRO LÄN</t>
        </is>
      </c>
      <c r="E65" t="inlineStr">
        <is>
          <t>HALLSBERG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26435-2019</t>
        </is>
      </c>
      <c r="B66" s="1" t="n">
        <v>43607</v>
      </c>
      <c r="C66" s="1" t="n">
        <v>45568</v>
      </c>
      <c r="D66" t="inlineStr">
        <is>
          <t>ÖREBRO LÄN</t>
        </is>
      </c>
      <c r="E66" t="inlineStr">
        <is>
          <t>HALLSBERG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30236-2019</t>
        </is>
      </c>
      <c r="B67" s="1" t="n">
        <v>43634</v>
      </c>
      <c r="C67" s="1" t="n">
        <v>45568</v>
      </c>
      <c r="D67" t="inlineStr">
        <is>
          <t>ÖREBRO LÄN</t>
        </is>
      </c>
      <c r="E67" t="inlineStr">
        <is>
          <t>HALLSBERG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30347-2019</t>
        </is>
      </c>
      <c r="B68" s="1" t="n">
        <v>43634</v>
      </c>
      <c r="C68" s="1" t="n">
        <v>45568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34787-2019</t>
        </is>
      </c>
      <c r="B69" s="1" t="n">
        <v>43649</v>
      </c>
      <c r="C69" s="1" t="n">
        <v>45568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35682-2019</t>
        </is>
      </c>
      <c r="B70" s="1" t="n">
        <v>43654</v>
      </c>
      <c r="C70" s="1" t="n">
        <v>45568</v>
      </c>
      <c r="D70" t="inlineStr">
        <is>
          <t>ÖREBRO LÄN</t>
        </is>
      </c>
      <c r="E70" t="inlineStr">
        <is>
          <t>HALLSBERG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35673-2019</t>
        </is>
      </c>
      <c r="B71" s="1" t="n">
        <v>43654</v>
      </c>
      <c r="C71" s="1" t="n">
        <v>45568</v>
      </c>
      <c r="D71" t="inlineStr">
        <is>
          <t>ÖREBRO LÄN</t>
        </is>
      </c>
      <c r="E71" t="inlineStr">
        <is>
          <t>HALLSBERG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34279-2019</t>
        </is>
      </c>
      <c r="B72" s="1" t="n">
        <v>43655</v>
      </c>
      <c r="C72" s="1" t="n">
        <v>45568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35532-2019</t>
        </is>
      </c>
      <c r="B73" s="1" t="n">
        <v>43655</v>
      </c>
      <c r="C73" s="1" t="n">
        <v>45568</v>
      </c>
      <c r="D73" t="inlineStr">
        <is>
          <t>ÖREBRO LÄN</t>
        </is>
      </c>
      <c r="E73" t="inlineStr">
        <is>
          <t>HALLSBERG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35662-2019</t>
        </is>
      </c>
      <c r="B74" s="1" t="n">
        <v>43655</v>
      </c>
      <c r="C74" s="1" t="n">
        <v>45568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34281-2019</t>
        </is>
      </c>
      <c r="B75" s="1" t="n">
        <v>43655</v>
      </c>
      <c r="C75" s="1" t="n">
        <v>45568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HYPERLINK("https://klasma.github.io/Logging_1861/knärot/A 34281-2019 karta knärot.png", "A 34281-2019")</f>
        <v/>
      </c>
      <c r="V75">
        <f>HYPERLINK("https://klasma.github.io/Logging_1861/klagomål/A 34281-2019 FSC-klagomål.docx", "A 34281-2019")</f>
        <v/>
      </c>
      <c r="W75">
        <f>HYPERLINK("https://klasma.github.io/Logging_1861/klagomålsmail/A 34281-2019 FSC-klagomål mail.docx", "A 34281-2019")</f>
        <v/>
      </c>
      <c r="X75">
        <f>HYPERLINK("https://klasma.github.io/Logging_1861/tillsyn/A 34281-2019 tillsynsbegäran.docx", "A 34281-2019")</f>
        <v/>
      </c>
      <c r="Y75">
        <f>HYPERLINK("https://klasma.github.io/Logging_1861/tillsynsmail/A 34281-2019 tillsynsbegäran mail.docx", "A 34281-2019")</f>
        <v/>
      </c>
    </row>
    <row r="76" ht="15" customHeight="1">
      <c r="A76" t="inlineStr">
        <is>
          <t>A 35665-2019</t>
        </is>
      </c>
      <c r="B76" s="1" t="n">
        <v>43655</v>
      </c>
      <c r="C76" s="1" t="n">
        <v>45568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35659-2019</t>
        </is>
      </c>
      <c r="B77" s="1" t="n">
        <v>43655</v>
      </c>
      <c r="C77" s="1" t="n">
        <v>45568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34277-2019</t>
        </is>
      </c>
      <c r="B78" s="1" t="n">
        <v>43655</v>
      </c>
      <c r="C78" s="1" t="n">
        <v>45568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37494-2019</t>
        </is>
      </c>
      <c r="B79" s="1" t="n">
        <v>43679</v>
      </c>
      <c r="C79" s="1" t="n">
        <v>45568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37493-2019</t>
        </is>
      </c>
      <c r="B80" s="1" t="n">
        <v>43679</v>
      </c>
      <c r="C80" s="1" t="n">
        <v>45568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37495-2019</t>
        </is>
      </c>
      <c r="B81" s="1" t="n">
        <v>43679</v>
      </c>
      <c r="C81" s="1" t="n">
        <v>45568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37474-2019</t>
        </is>
      </c>
      <c r="B82" s="1" t="n">
        <v>43679</v>
      </c>
      <c r="C82" s="1" t="n">
        <v>45568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37926-2019</t>
        </is>
      </c>
      <c r="B83" s="1" t="n">
        <v>43683</v>
      </c>
      <c r="C83" s="1" t="n">
        <v>45568</v>
      </c>
      <c r="D83" t="inlineStr">
        <is>
          <t>ÖREBRO LÄN</t>
        </is>
      </c>
      <c r="E83" t="inlineStr">
        <is>
          <t>HALLSBERG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39879-2019</t>
        </is>
      </c>
      <c r="B84" s="1" t="n">
        <v>43692</v>
      </c>
      <c r="C84" s="1" t="n">
        <v>45568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41182-2019</t>
        </is>
      </c>
      <c r="B85" s="1" t="n">
        <v>43698</v>
      </c>
      <c r="C85" s="1" t="n">
        <v>45568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41250-2019</t>
        </is>
      </c>
      <c r="B86" s="1" t="n">
        <v>43698</v>
      </c>
      <c r="C86" s="1" t="n">
        <v>45568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41174-2019</t>
        </is>
      </c>
      <c r="B87" s="1" t="n">
        <v>43698</v>
      </c>
      <c r="C87" s="1" t="n">
        <v>45568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41184-2019</t>
        </is>
      </c>
      <c r="B88" s="1" t="n">
        <v>43698</v>
      </c>
      <c r="C88" s="1" t="n">
        <v>45568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41345-2019</t>
        </is>
      </c>
      <c r="B89" s="1" t="n">
        <v>43698</v>
      </c>
      <c r="C89" s="1" t="n">
        <v>45568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41348-2019</t>
        </is>
      </c>
      <c r="B90" s="1" t="n">
        <v>43698</v>
      </c>
      <c r="C90" s="1" t="n">
        <v>45568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41864-2019</t>
        </is>
      </c>
      <c r="B91" s="1" t="n">
        <v>43700</v>
      </c>
      <c r="C91" s="1" t="n">
        <v>45568</v>
      </c>
      <c r="D91" t="inlineStr">
        <is>
          <t>ÖREBRO LÄN</t>
        </is>
      </c>
      <c r="E91" t="inlineStr">
        <is>
          <t>HALLSBERG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42281-2019</t>
        </is>
      </c>
      <c r="B92" s="1" t="n">
        <v>43703</v>
      </c>
      <c r="C92" s="1" t="n">
        <v>45568</v>
      </c>
      <c r="D92" t="inlineStr">
        <is>
          <t>ÖREBRO LÄN</t>
        </is>
      </c>
      <c r="E92" t="inlineStr">
        <is>
          <t>HALLSBERG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43828-2019</t>
        </is>
      </c>
      <c r="B93" s="1" t="n">
        <v>43704</v>
      </c>
      <c r="C93" s="1" t="n">
        <v>45568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43642-2019</t>
        </is>
      </c>
      <c r="B94" s="1" t="n">
        <v>43704</v>
      </c>
      <c r="C94" s="1" t="n">
        <v>45568</v>
      </c>
      <c r="D94" t="inlineStr">
        <is>
          <t>ÖREBRO LÄN</t>
        </is>
      </c>
      <c r="E94" t="inlineStr">
        <is>
          <t>HALLSBERG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43646-2019</t>
        </is>
      </c>
      <c r="B95" s="1" t="n">
        <v>43704</v>
      </c>
      <c r="C95" s="1" t="n">
        <v>45568</v>
      </c>
      <c r="D95" t="inlineStr">
        <is>
          <t>ÖREBRO LÄN</t>
        </is>
      </c>
      <c r="E95" t="inlineStr">
        <is>
          <t>HALLSBERG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43822-2019</t>
        </is>
      </c>
      <c r="B96" s="1" t="n">
        <v>43704</v>
      </c>
      <c r="C96" s="1" t="n">
        <v>45568</v>
      </c>
      <c r="D96" t="inlineStr">
        <is>
          <t>ÖREBRO LÄN</t>
        </is>
      </c>
      <c r="E96" t="inlineStr">
        <is>
          <t>HALLSBERG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43851-2019</t>
        </is>
      </c>
      <c r="B97" s="1" t="n">
        <v>43704</v>
      </c>
      <c r="C97" s="1" t="n">
        <v>45568</v>
      </c>
      <c r="D97" t="inlineStr">
        <is>
          <t>ÖREBRO LÄN</t>
        </is>
      </c>
      <c r="E97" t="inlineStr">
        <is>
          <t>HALLSBERG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47880-2019</t>
        </is>
      </c>
      <c r="B98" s="1" t="n">
        <v>43725</v>
      </c>
      <c r="C98" s="1" t="n">
        <v>45568</v>
      </c>
      <c r="D98" t="inlineStr">
        <is>
          <t>ÖREBRO LÄN</t>
        </is>
      </c>
      <c r="E98" t="inlineStr">
        <is>
          <t>HALLSBERG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47884-2019</t>
        </is>
      </c>
      <c r="B99" s="1" t="n">
        <v>43725</v>
      </c>
      <c r="C99" s="1" t="n">
        <v>45568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50543-2019</t>
        </is>
      </c>
      <c r="B100" s="1" t="n">
        <v>43735</v>
      </c>
      <c r="C100" s="1" t="n">
        <v>45568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50531-2019</t>
        </is>
      </c>
      <c r="B101" s="1" t="n">
        <v>43735</v>
      </c>
      <c r="C101" s="1" t="n">
        <v>45568</v>
      </c>
      <c r="D101" t="inlineStr">
        <is>
          <t>ÖREBRO LÄN</t>
        </is>
      </c>
      <c r="E101" t="inlineStr">
        <is>
          <t>HALLSBERG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51641-2019</t>
        </is>
      </c>
      <c r="B102" s="1" t="n">
        <v>43740</v>
      </c>
      <c r="C102" s="1" t="n">
        <v>45568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53726-2019</t>
        </is>
      </c>
      <c r="B103" s="1" t="n">
        <v>43749</v>
      </c>
      <c r="C103" s="1" t="n">
        <v>45568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55605-2019</t>
        </is>
      </c>
      <c r="B104" s="1" t="n">
        <v>43759</v>
      </c>
      <c r="C104" s="1" t="n">
        <v>45568</v>
      </c>
      <c r="D104" t="inlineStr">
        <is>
          <t>ÖREBRO LÄN</t>
        </is>
      </c>
      <c r="E104" t="inlineStr">
        <is>
          <t>HALLSBERG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55613-2019</t>
        </is>
      </c>
      <c r="B105" s="1" t="n">
        <v>43759</v>
      </c>
      <c r="C105" s="1" t="n">
        <v>45568</v>
      </c>
      <c r="D105" t="inlineStr">
        <is>
          <t>ÖREBRO LÄN</t>
        </is>
      </c>
      <c r="E105" t="inlineStr">
        <is>
          <t>HALLSBERG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56454-2019</t>
        </is>
      </c>
      <c r="B106" s="1" t="n">
        <v>43762</v>
      </c>
      <c r="C106" s="1" t="n">
        <v>45568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56421-2019</t>
        </is>
      </c>
      <c r="B107" s="1" t="n">
        <v>43762</v>
      </c>
      <c r="C107" s="1" t="n">
        <v>45568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23.2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60367-2019</t>
        </is>
      </c>
      <c r="B108" s="1" t="n">
        <v>43776</v>
      </c>
      <c r="C108" s="1" t="n">
        <v>45568</v>
      </c>
      <c r="D108" t="inlineStr">
        <is>
          <t>ÖREBRO LÄN</t>
        </is>
      </c>
      <c r="E108" t="inlineStr">
        <is>
          <t>HALLSBERG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60626-2019</t>
        </is>
      </c>
      <c r="B109" s="1" t="n">
        <v>43781</v>
      </c>
      <c r="C109" s="1" t="n">
        <v>45568</v>
      </c>
      <c r="D109" t="inlineStr">
        <is>
          <t>ÖREBRO LÄN</t>
        </is>
      </c>
      <c r="E109" t="inlineStr">
        <is>
          <t>HALLSBERG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63117-2019</t>
        </is>
      </c>
      <c r="B110" s="1" t="n">
        <v>43791</v>
      </c>
      <c r="C110" s="1" t="n">
        <v>45568</v>
      </c>
      <c r="D110" t="inlineStr">
        <is>
          <t>ÖREBRO LÄN</t>
        </is>
      </c>
      <c r="E110" t="inlineStr">
        <is>
          <t>HALLSBERG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63264-2019</t>
        </is>
      </c>
      <c r="B111" s="1" t="n">
        <v>43793</v>
      </c>
      <c r="C111" s="1" t="n">
        <v>45568</v>
      </c>
      <c r="D111" t="inlineStr">
        <is>
          <t>ÖREBRO LÄN</t>
        </is>
      </c>
      <c r="E111" t="inlineStr">
        <is>
          <t>HALLSBERG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1516-2020</t>
        </is>
      </c>
      <c r="B112" s="1" t="n">
        <v>43843</v>
      </c>
      <c r="C112" s="1" t="n">
        <v>45568</v>
      </c>
      <c r="D112" t="inlineStr">
        <is>
          <t>ÖREBRO LÄN</t>
        </is>
      </c>
      <c r="E112" t="inlineStr">
        <is>
          <t>HALLSBERG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2362-2020</t>
        </is>
      </c>
      <c r="B113" s="1" t="n">
        <v>43846</v>
      </c>
      <c r="C113" s="1" t="n">
        <v>45568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5275-2020</t>
        </is>
      </c>
      <c r="B114" s="1" t="n">
        <v>43860</v>
      </c>
      <c r="C114" s="1" t="n">
        <v>45568</v>
      </c>
      <c r="D114" t="inlineStr">
        <is>
          <t>ÖREBRO LÄN</t>
        </is>
      </c>
      <c r="E114" t="inlineStr">
        <is>
          <t>HALLSBERG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5667-2020</t>
        </is>
      </c>
      <c r="B115" s="1" t="n">
        <v>43861</v>
      </c>
      <c r="C115" s="1" t="n">
        <v>45568</v>
      </c>
      <c r="D115" t="inlineStr">
        <is>
          <t>ÖREBRO LÄN</t>
        </is>
      </c>
      <c r="E115" t="inlineStr">
        <is>
          <t>HALLSBERG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6938-2020</t>
        </is>
      </c>
      <c r="B116" s="1" t="n">
        <v>43867</v>
      </c>
      <c r="C116" s="1" t="n">
        <v>45568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9200-2020</t>
        </is>
      </c>
      <c r="B117" s="1" t="n">
        <v>43879</v>
      </c>
      <c r="C117" s="1" t="n">
        <v>45568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9211-2020</t>
        </is>
      </c>
      <c r="B118" s="1" t="n">
        <v>43879</v>
      </c>
      <c r="C118" s="1" t="n">
        <v>45568</v>
      </c>
      <c r="D118" t="inlineStr">
        <is>
          <t>ÖREBRO LÄN</t>
        </is>
      </c>
      <c r="E118" t="inlineStr">
        <is>
          <t>HALLSBERG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12057-2020</t>
        </is>
      </c>
      <c r="B119" s="1" t="n">
        <v>43894</v>
      </c>
      <c r="C119" s="1" t="n">
        <v>45568</v>
      </c>
      <c r="D119" t="inlineStr">
        <is>
          <t>ÖREBRO LÄN</t>
        </is>
      </c>
      <c r="E119" t="inlineStr">
        <is>
          <t>HALLSBERG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14453-2020</t>
        </is>
      </c>
      <c r="B120" s="1" t="n">
        <v>43908</v>
      </c>
      <c r="C120" s="1" t="n">
        <v>45568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16056-2020</t>
        </is>
      </c>
      <c r="B121" s="1" t="n">
        <v>43916</v>
      </c>
      <c r="C121" s="1" t="n">
        <v>45568</v>
      </c>
      <c r="D121" t="inlineStr">
        <is>
          <t>ÖREBRO LÄN</t>
        </is>
      </c>
      <c r="E121" t="inlineStr">
        <is>
          <t>HALLSBERG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18548-2020</t>
        </is>
      </c>
      <c r="B122" s="1" t="n">
        <v>43929</v>
      </c>
      <c r="C122" s="1" t="n">
        <v>45568</v>
      </c>
      <c r="D122" t="inlineStr">
        <is>
          <t>ÖREBRO LÄN</t>
        </is>
      </c>
      <c r="E122" t="inlineStr">
        <is>
          <t>HALLSBERG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18555-2020</t>
        </is>
      </c>
      <c r="B123" s="1" t="n">
        <v>43929</v>
      </c>
      <c r="C123" s="1" t="n">
        <v>45568</v>
      </c>
      <c r="D123" t="inlineStr">
        <is>
          <t>ÖREBRO LÄN</t>
        </is>
      </c>
      <c r="E123" t="inlineStr">
        <is>
          <t>HALLSBERG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18553-2020</t>
        </is>
      </c>
      <c r="B124" s="1" t="n">
        <v>43929</v>
      </c>
      <c r="C124" s="1" t="n">
        <v>45568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19784-2020</t>
        </is>
      </c>
      <c r="B125" s="1" t="n">
        <v>43942</v>
      </c>
      <c r="C125" s="1" t="n">
        <v>45568</v>
      </c>
      <c r="D125" t="inlineStr">
        <is>
          <t>ÖREBRO LÄN</t>
        </is>
      </c>
      <c r="E125" t="inlineStr">
        <is>
          <t>HALLSBERG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19791-2020</t>
        </is>
      </c>
      <c r="B126" s="1" t="n">
        <v>43942</v>
      </c>
      <c r="C126" s="1" t="n">
        <v>45568</v>
      </c>
      <c r="D126" t="inlineStr">
        <is>
          <t>ÖREBRO LÄN</t>
        </is>
      </c>
      <c r="E126" t="inlineStr">
        <is>
          <t>HALLSBERG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20129-2020</t>
        </is>
      </c>
      <c r="B127" s="1" t="n">
        <v>43944</v>
      </c>
      <c r="C127" s="1" t="n">
        <v>45568</v>
      </c>
      <c r="D127" t="inlineStr">
        <is>
          <t>ÖREBRO LÄN</t>
        </is>
      </c>
      <c r="E127" t="inlineStr">
        <is>
          <t>HALLSBERG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20511-2020</t>
        </is>
      </c>
      <c r="B128" s="1" t="n">
        <v>43948</v>
      </c>
      <c r="C128" s="1" t="n">
        <v>45568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20544-2020</t>
        </is>
      </c>
      <c r="B129" s="1" t="n">
        <v>43948</v>
      </c>
      <c r="C129" s="1" t="n">
        <v>45568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20500-2020</t>
        </is>
      </c>
      <c r="B130" s="1" t="n">
        <v>43948</v>
      </c>
      <c r="C130" s="1" t="n">
        <v>45568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20510-2020</t>
        </is>
      </c>
      <c r="B131" s="1" t="n">
        <v>43948</v>
      </c>
      <c r="C131" s="1" t="n">
        <v>45568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20704-2020</t>
        </is>
      </c>
      <c r="B132" s="1" t="n">
        <v>43949</v>
      </c>
      <c r="C132" s="1" t="n">
        <v>45568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20705-2020</t>
        </is>
      </c>
      <c r="B133" s="1" t="n">
        <v>43949</v>
      </c>
      <c r="C133" s="1" t="n">
        <v>45568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20958-2020</t>
        </is>
      </c>
      <c r="B134" s="1" t="n">
        <v>43950</v>
      </c>
      <c r="C134" s="1" t="n">
        <v>45568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20833-2020</t>
        </is>
      </c>
      <c r="B135" s="1" t="n">
        <v>43950</v>
      </c>
      <c r="C135" s="1" t="n">
        <v>45568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22567-2020</t>
        </is>
      </c>
      <c r="B136" s="1" t="n">
        <v>43963</v>
      </c>
      <c r="C136" s="1" t="n">
        <v>45568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23720-2020</t>
        </is>
      </c>
      <c r="B137" s="1" t="n">
        <v>43970</v>
      </c>
      <c r="C137" s="1" t="n">
        <v>45568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23716-2020</t>
        </is>
      </c>
      <c r="B138" s="1" t="n">
        <v>43970</v>
      </c>
      <c r="C138" s="1" t="n">
        <v>45568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23717-2020</t>
        </is>
      </c>
      <c r="B139" s="1" t="n">
        <v>43970</v>
      </c>
      <c r="C139" s="1" t="n">
        <v>45568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23773-2020</t>
        </is>
      </c>
      <c r="B140" s="1" t="n">
        <v>43970</v>
      </c>
      <c r="C140" s="1" t="n">
        <v>45568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24022-2020</t>
        </is>
      </c>
      <c r="B141" s="1" t="n">
        <v>43971</v>
      </c>
      <c r="C141" s="1" t="n">
        <v>45568</v>
      </c>
      <c r="D141" t="inlineStr">
        <is>
          <t>ÖREBRO LÄN</t>
        </is>
      </c>
      <c r="E141" t="inlineStr">
        <is>
          <t>HALLSBERG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24623-2020</t>
        </is>
      </c>
      <c r="B142" s="1" t="n">
        <v>43977</v>
      </c>
      <c r="C142" s="1" t="n">
        <v>45568</v>
      </c>
      <c r="D142" t="inlineStr">
        <is>
          <t>ÖREBRO LÄN</t>
        </is>
      </c>
      <c r="E142" t="inlineStr">
        <is>
          <t>HALLSBERG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24626-2020</t>
        </is>
      </c>
      <c r="B143" s="1" t="n">
        <v>43977</v>
      </c>
      <c r="C143" s="1" t="n">
        <v>45568</v>
      </c>
      <c r="D143" t="inlineStr">
        <is>
          <t>ÖREBRO LÄN</t>
        </is>
      </c>
      <c r="E143" t="inlineStr">
        <is>
          <t>HALLSBERG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26196-2020</t>
        </is>
      </c>
      <c r="B144" s="1" t="n">
        <v>43985</v>
      </c>
      <c r="C144" s="1" t="n">
        <v>45568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26211-2020</t>
        </is>
      </c>
      <c r="B145" s="1" t="n">
        <v>43986</v>
      </c>
      <c r="C145" s="1" t="n">
        <v>45568</v>
      </c>
      <c r="D145" t="inlineStr">
        <is>
          <t>ÖREBRO LÄN</t>
        </is>
      </c>
      <c r="E145" t="inlineStr">
        <is>
          <t>HALLSBERG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26477-2020</t>
        </is>
      </c>
      <c r="B146" s="1" t="n">
        <v>43987</v>
      </c>
      <c r="C146" s="1" t="n">
        <v>45568</v>
      </c>
      <c r="D146" t="inlineStr">
        <is>
          <t>ÖREBRO LÄN</t>
        </is>
      </c>
      <c r="E146" t="inlineStr">
        <is>
          <t>HALLSBERG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28193-2020</t>
        </is>
      </c>
      <c r="B147" s="1" t="n">
        <v>43997</v>
      </c>
      <c r="C147" s="1" t="n">
        <v>45568</v>
      </c>
      <c r="D147" t="inlineStr">
        <is>
          <t>ÖREBRO LÄN</t>
        </is>
      </c>
      <c r="E147" t="inlineStr">
        <is>
          <t>HALLSBERG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28286-2020</t>
        </is>
      </c>
      <c r="B148" s="1" t="n">
        <v>43998</v>
      </c>
      <c r="C148" s="1" t="n">
        <v>45568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28316-2020</t>
        </is>
      </c>
      <c r="B149" s="1" t="n">
        <v>43998</v>
      </c>
      <c r="C149" s="1" t="n">
        <v>45568</v>
      </c>
      <c r="D149" t="inlineStr">
        <is>
          <t>ÖREBRO LÄN</t>
        </is>
      </c>
      <c r="E149" t="inlineStr">
        <is>
          <t>HALLSBERG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29156-2020</t>
        </is>
      </c>
      <c r="B150" s="1" t="n">
        <v>43999</v>
      </c>
      <c r="C150" s="1" t="n">
        <v>45568</v>
      </c>
      <c r="D150" t="inlineStr">
        <is>
          <t>ÖREBRO LÄN</t>
        </is>
      </c>
      <c r="E150" t="inlineStr">
        <is>
          <t>HALLSBERG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29804-2020</t>
        </is>
      </c>
      <c r="B151" s="1" t="n">
        <v>44006</v>
      </c>
      <c r="C151" s="1" t="n">
        <v>45568</v>
      </c>
      <c r="D151" t="inlineStr">
        <is>
          <t>ÖREBRO LÄN</t>
        </is>
      </c>
      <c r="E151" t="inlineStr">
        <is>
          <t>HALLSBERG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32887-2020</t>
        </is>
      </c>
      <c r="B152" s="1" t="n">
        <v>44018</v>
      </c>
      <c r="C152" s="1" t="n">
        <v>45568</v>
      </c>
      <c r="D152" t="inlineStr">
        <is>
          <t>ÖREBRO LÄN</t>
        </is>
      </c>
      <c r="E152" t="inlineStr">
        <is>
          <t>HALLSBERG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32894-2020</t>
        </is>
      </c>
      <c r="B153" s="1" t="n">
        <v>44018</v>
      </c>
      <c r="C153" s="1" t="n">
        <v>45568</v>
      </c>
      <c r="D153" t="inlineStr">
        <is>
          <t>ÖREBRO LÄN</t>
        </is>
      </c>
      <c r="E153" t="inlineStr">
        <is>
          <t>HALLSBERG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33049-2020</t>
        </is>
      </c>
      <c r="B154" s="1" t="n">
        <v>44021</v>
      </c>
      <c r="C154" s="1" t="n">
        <v>45568</v>
      </c>
      <c r="D154" t="inlineStr">
        <is>
          <t>ÖREBRO LÄN</t>
        </is>
      </c>
      <c r="E154" t="inlineStr">
        <is>
          <t>HALLSBERG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37900-2020</t>
        </is>
      </c>
      <c r="B155" s="1" t="n">
        <v>44057</v>
      </c>
      <c r="C155" s="1" t="n">
        <v>45568</v>
      </c>
      <c r="D155" t="inlineStr">
        <is>
          <t>ÖREBRO LÄN</t>
        </is>
      </c>
      <c r="E155" t="inlineStr">
        <is>
          <t>HALLSBERG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37921-2020</t>
        </is>
      </c>
      <c r="B156" s="1" t="n">
        <v>44057</v>
      </c>
      <c r="C156" s="1" t="n">
        <v>45568</v>
      </c>
      <c r="D156" t="inlineStr">
        <is>
          <t>ÖREBRO LÄN</t>
        </is>
      </c>
      <c r="E156" t="inlineStr">
        <is>
          <t>HALLSBERG</t>
        </is>
      </c>
      <c r="G156" t="n">
        <v>15.9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37944-2020</t>
        </is>
      </c>
      <c r="B157" s="1" t="n">
        <v>44057</v>
      </c>
      <c r="C157" s="1" t="n">
        <v>45568</v>
      </c>
      <c r="D157" t="inlineStr">
        <is>
          <t>ÖREBRO LÄN</t>
        </is>
      </c>
      <c r="E157" t="inlineStr">
        <is>
          <t>HALLSBERG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39252-2020</t>
        </is>
      </c>
      <c r="B158" s="1" t="n">
        <v>44063</v>
      </c>
      <c r="C158" s="1" t="n">
        <v>45568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39995-2020</t>
        </is>
      </c>
      <c r="B159" s="1" t="n">
        <v>44064</v>
      </c>
      <c r="C159" s="1" t="n">
        <v>45568</v>
      </c>
      <c r="D159" t="inlineStr">
        <is>
          <t>ÖREBRO LÄN</t>
        </is>
      </c>
      <c r="E159" t="inlineStr">
        <is>
          <t>HALLSBERG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41179-2020</t>
        </is>
      </c>
      <c r="B160" s="1" t="n">
        <v>44071</v>
      </c>
      <c r="C160" s="1" t="n">
        <v>45568</v>
      </c>
      <c r="D160" t="inlineStr">
        <is>
          <t>ÖREBRO LÄN</t>
        </is>
      </c>
      <c r="E160" t="inlineStr">
        <is>
          <t>HALLSBERG</t>
        </is>
      </c>
      <c r="G160" t="n">
        <v>21.1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42074-2020</t>
        </is>
      </c>
      <c r="B161" s="1" t="n">
        <v>44075</v>
      </c>
      <c r="C161" s="1" t="n">
        <v>45568</v>
      </c>
      <c r="D161" t="inlineStr">
        <is>
          <t>ÖREBRO LÄN</t>
        </is>
      </c>
      <c r="E161" t="inlineStr">
        <is>
          <t>HALLSBERG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43007-2020</t>
        </is>
      </c>
      <c r="B162" s="1" t="n">
        <v>44078</v>
      </c>
      <c r="C162" s="1" t="n">
        <v>45568</v>
      </c>
      <c r="D162" t="inlineStr">
        <is>
          <t>ÖREBRO LÄN</t>
        </is>
      </c>
      <c r="E162" t="inlineStr">
        <is>
          <t>HALLSBERG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42903-2020</t>
        </is>
      </c>
      <c r="B163" s="1" t="n">
        <v>44078</v>
      </c>
      <c r="C163" s="1" t="n">
        <v>45568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46025-2020</t>
        </is>
      </c>
      <c r="B164" s="1" t="n">
        <v>44088</v>
      </c>
      <c r="C164" s="1" t="n">
        <v>45568</v>
      </c>
      <c r="D164" t="inlineStr">
        <is>
          <t>ÖREBRO LÄN</t>
        </is>
      </c>
      <c r="E164" t="inlineStr">
        <is>
          <t>HALLSBERG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46305-2020</t>
        </is>
      </c>
      <c r="B165" s="1" t="n">
        <v>44092</v>
      </c>
      <c r="C165" s="1" t="n">
        <v>45568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47322-2020</t>
        </is>
      </c>
      <c r="B166" s="1" t="n">
        <v>44097</v>
      </c>
      <c r="C166" s="1" t="n">
        <v>45568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48725-2020</t>
        </is>
      </c>
      <c r="B167" s="1" t="n">
        <v>44099</v>
      </c>
      <c r="C167" s="1" t="n">
        <v>45568</v>
      </c>
      <c r="D167" t="inlineStr">
        <is>
          <t>ÖREBRO LÄN</t>
        </is>
      </c>
      <c r="E167" t="inlineStr">
        <is>
          <t>HALLSBERG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58208-2020</t>
        </is>
      </c>
      <c r="B168" s="1" t="n">
        <v>44144</v>
      </c>
      <c r="C168" s="1" t="n">
        <v>45568</v>
      </c>
      <c r="D168" t="inlineStr">
        <is>
          <t>ÖREBRO LÄN</t>
        </is>
      </c>
      <c r="E168" t="inlineStr">
        <is>
          <t>HALLSBERG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58215-2020</t>
        </is>
      </c>
      <c r="B169" s="1" t="n">
        <v>44144</v>
      </c>
      <c r="C169" s="1" t="n">
        <v>45568</v>
      </c>
      <c r="D169" t="inlineStr">
        <is>
          <t>ÖREBRO LÄN</t>
        </is>
      </c>
      <c r="E169" t="inlineStr">
        <is>
          <t>HALLSBERG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59076-2020</t>
        </is>
      </c>
      <c r="B170" s="1" t="n">
        <v>44147</v>
      </c>
      <c r="C170" s="1" t="n">
        <v>45568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60548-2020</t>
        </is>
      </c>
      <c r="B171" s="1" t="n">
        <v>44153</v>
      </c>
      <c r="C171" s="1" t="n">
        <v>45568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62939-2020</t>
        </is>
      </c>
      <c r="B172" s="1" t="n">
        <v>44161</v>
      </c>
      <c r="C172" s="1" t="n">
        <v>45568</v>
      </c>
      <c r="D172" t="inlineStr">
        <is>
          <t>ÖREBRO LÄN</t>
        </is>
      </c>
      <c r="E172" t="inlineStr">
        <is>
          <t>HALLSBERG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63748-2020</t>
        </is>
      </c>
      <c r="B173" s="1" t="n">
        <v>44166</v>
      </c>
      <c r="C173" s="1" t="n">
        <v>45568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127-2021</t>
        </is>
      </c>
      <c r="B174" s="1" t="n">
        <v>44200</v>
      </c>
      <c r="C174" s="1" t="n">
        <v>45568</v>
      </c>
      <c r="D174" t="inlineStr">
        <is>
          <t>ÖREBRO LÄN</t>
        </is>
      </c>
      <c r="E174" t="inlineStr">
        <is>
          <t>HALLSBERG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1618-2021</t>
        </is>
      </c>
      <c r="B175" s="1" t="n">
        <v>44209</v>
      </c>
      <c r="C175" s="1" t="n">
        <v>45568</v>
      </c>
      <c r="D175" t="inlineStr">
        <is>
          <t>ÖREBRO LÄN</t>
        </is>
      </c>
      <c r="E175" t="inlineStr">
        <is>
          <t>HALLSBERG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2303-2021</t>
        </is>
      </c>
      <c r="B176" s="1" t="n">
        <v>44213</v>
      </c>
      <c r="C176" s="1" t="n">
        <v>45568</v>
      </c>
      <c r="D176" t="inlineStr">
        <is>
          <t>ÖREBRO LÄN</t>
        </is>
      </c>
      <c r="E176" t="inlineStr">
        <is>
          <t>HALLSBERG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5101-2021</t>
        </is>
      </c>
      <c r="B177" s="1" t="n">
        <v>44224</v>
      </c>
      <c r="C177" s="1" t="n">
        <v>45568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5651-2021</t>
        </is>
      </c>
      <c r="B178" s="1" t="n">
        <v>44230</v>
      </c>
      <c r="C178" s="1" t="n">
        <v>45568</v>
      </c>
      <c r="D178" t="inlineStr">
        <is>
          <t>ÖREBRO LÄN</t>
        </is>
      </c>
      <c r="E178" t="inlineStr">
        <is>
          <t>HALLSBERG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7188-2021</t>
        </is>
      </c>
      <c r="B179" s="1" t="n">
        <v>44238</v>
      </c>
      <c r="C179" s="1" t="n">
        <v>45568</v>
      </c>
      <c r="D179" t="inlineStr">
        <is>
          <t>ÖREBRO LÄN</t>
        </is>
      </c>
      <c r="E179" t="inlineStr">
        <is>
          <t>HALLSBERG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10691-2021</t>
        </is>
      </c>
      <c r="B180" s="1" t="n">
        <v>44258</v>
      </c>
      <c r="C180" s="1" t="n">
        <v>45568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12461-2021</t>
        </is>
      </c>
      <c r="B181" s="1" t="n">
        <v>44267</v>
      </c>
      <c r="C181" s="1" t="n">
        <v>45568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20335-2021</t>
        </is>
      </c>
      <c r="B182" s="1" t="n">
        <v>44315</v>
      </c>
      <c r="C182" s="1" t="n">
        <v>45568</v>
      </c>
      <c r="D182" t="inlineStr">
        <is>
          <t>ÖREBRO LÄN</t>
        </is>
      </c>
      <c r="E182" t="inlineStr">
        <is>
          <t>HALLSBERG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23856-2021</t>
        </is>
      </c>
      <c r="B183" s="1" t="n">
        <v>44335</v>
      </c>
      <c r="C183" s="1" t="n">
        <v>45568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24045-2021</t>
        </is>
      </c>
      <c r="B184" s="1" t="n">
        <v>44336</v>
      </c>
      <c r="C184" s="1" t="n">
        <v>45568</v>
      </c>
      <c r="D184" t="inlineStr">
        <is>
          <t>ÖREBRO LÄN</t>
        </is>
      </c>
      <c r="E184" t="inlineStr">
        <is>
          <t>HALLSBERG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24876-2021</t>
        </is>
      </c>
      <c r="B185" s="1" t="n">
        <v>44341</v>
      </c>
      <c r="C185" s="1" t="n">
        <v>45568</v>
      </c>
      <c r="D185" t="inlineStr">
        <is>
          <t>ÖREBRO LÄN</t>
        </is>
      </c>
      <c r="E185" t="inlineStr">
        <is>
          <t>HALLSBERG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24897-2021</t>
        </is>
      </c>
      <c r="B186" s="1" t="n">
        <v>44341</v>
      </c>
      <c r="C186" s="1" t="n">
        <v>45568</v>
      </c>
      <c r="D186" t="inlineStr">
        <is>
          <t>ÖREBRO LÄN</t>
        </is>
      </c>
      <c r="E186" t="inlineStr">
        <is>
          <t>HALLSBERG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25688-2021</t>
        </is>
      </c>
      <c r="B187" s="1" t="n">
        <v>44343</v>
      </c>
      <c r="C187" s="1" t="n">
        <v>45568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25734-2021</t>
        </is>
      </c>
      <c r="B188" s="1" t="n">
        <v>44343</v>
      </c>
      <c r="C188" s="1" t="n">
        <v>45568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25718-2021</t>
        </is>
      </c>
      <c r="B189" s="1" t="n">
        <v>44343</v>
      </c>
      <c r="C189" s="1" t="n">
        <v>45568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29503-2021</t>
        </is>
      </c>
      <c r="B190" s="1" t="n">
        <v>44361</v>
      </c>
      <c r="C190" s="1" t="n">
        <v>45568</v>
      </c>
      <c r="D190" t="inlineStr">
        <is>
          <t>ÖREBRO LÄN</t>
        </is>
      </c>
      <c r="E190" t="inlineStr">
        <is>
          <t>HALLSBERG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31483-2021</t>
        </is>
      </c>
      <c r="B191" s="1" t="n">
        <v>44369</v>
      </c>
      <c r="C191" s="1" t="n">
        <v>45568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31492-2021</t>
        </is>
      </c>
      <c r="B192" s="1" t="n">
        <v>44369</v>
      </c>
      <c r="C192" s="1" t="n">
        <v>45568</v>
      </c>
      <c r="D192" t="inlineStr">
        <is>
          <t>ÖREBRO LÄN</t>
        </is>
      </c>
      <c r="E192" t="inlineStr">
        <is>
          <t>HALLSBERG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31480-2021</t>
        </is>
      </c>
      <c r="B193" s="1" t="n">
        <v>44369</v>
      </c>
      <c r="C193" s="1" t="n">
        <v>45568</v>
      </c>
      <c r="D193" t="inlineStr">
        <is>
          <t>ÖREBRO LÄN</t>
        </is>
      </c>
      <c r="E193" t="inlineStr">
        <is>
          <t>HALLSBERG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33290-2021</t>
        </is>
      </c>
      <c r="B194" s="1" t="n">
        <v>44377</v>
      </c>
      <c r="C194" s="1" t="n">
        <v>45568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36591-2021</t>
        </is>
      </c>
      <c r="B195" s="1" t="n">
        <v>44391</v>
      </c>
      <c r="C195" s="1" t="n">
        <v>45568</v>
      </c>
      <c r="D195" t="inlineStr">
        <is>
          <t>ÖREBRO LÄN</t>
        </is>
      </c>
      <c r="E195" t="inlineStr">
        <is>
          <t>HALLSBERG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38131-2021</t>
        </is>
      </c>
      <c r="B196" s="1" t="n">
        <v>44404</v>
      </c>
      <c r="C196" s="1" t="n">
        <v>45568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38927-2021</t>
        </is>
      </c>
      <c r="B197" s="1" t="n">
        <v>44411</v>
      </c>
      <c r="C197" s="1" t="n">
        <v>45568</v>
      </c>
      <c r="D197" t="inlineStr">
        <is>
          <t>ÖREBRO LÄN</t>
        </is>
      </c>
      <c r="E197" t="inlineStr">
        <is>
          <t>HALLSBERG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39057-2021</t>
        </is>
      </c>
      <c r="B198" s="1" t="n">
        <v>44412</v>
      </c>
      <c r="C198" s="1" t="n">
        <v>45568</v>
      </c>
      <c r="D198" t="inlineStr">
        <is>
          <t>ÖREBRO LÄN</t>
        </is>
      </c>
      <c r="E198" t="inlineStr">
        <is>
          <t>HALLSBERG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39466-2021</t>
        </is>
      </c>
      <c r="B199" s="1" t="n">
        <v>44414</v>
      </c>
      <c r="C199" s="1" t="n">
        <v>45568</v>
      </c>
      <c r="D199" t="inlineStr">
        <is>
          <t>ÖREBRO LÄN</t>
        </is>
      </c>
      <c r="E199" t="inlineStr">
        <is>
          <t>HALLSBERG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39450-2021</t>
        </is>
      </c>
      <c r="B200" s="1" t="n">
        <v>44414</v>
      </c>
      <c r="C200" s="1" t="n">
        <v>45568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40607-2021</t>
        </is>
      </c>
      <c r="B201" s="1" t="n">
        <v>44420</v>
      </c>
      <c r="C201" s="1" t="n">
        <v>45568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40984-2021</t>
        </is>
      </c>
      <c r="B202" s="1" t="n">
        <v>44421</v>
      </c>
      <c r="C202" s="1" t="n">
        <v>45568</v>
      </c>
      <c r="D202" t="inlineStr">
        <is>
          <t>ÖREBRO LÄN</t>
        </is>
      </c>
      <c r="E202" t="inlineStr">
        <is>
          <t>HALLSBERG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40987-2021</t>
        </is>
      </c>
      <c r="B203" s="1" t="n">
        <v>44421</v>
      </c>
      <c r="C203" s="1" t="n">
        <v>45568</v>
      </c>
      <c r="D203" t="inlineStr">
        <is>
          <t>ÖREBRO LÄN</t>
        </is>
      </c>
      <c r="E203" t="inlineStr">
        <is>
          <t>HALLSBERG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41410-2021</t>
        </is>
      </c>
      <c r="B204" s="1" t="n">
        <v>44424</v>
      </c>
      <c r="C204" s="1" t="n">
        <v>45568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44227-2021</t>
        </is>
      </c>
      <c r="B205" s="1" t="n">
        <v>44435</v>
      </c>
      <c r="C205" s="1" t="n">
        <v>45568</v>
      </c>
      <c r="D205" t="inlineStr">
        <is>
          <t>ÖREBRO LÄN</t>
        </is>
      </c>
      <c r="E205" t="inlineStr">
        <is>
          <t>HALLSBERG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44228-2021</t>
        </is>
      </c>
      <c r="B206" s="1" t="n">
        <v>44435</v>
      </c>
      <c r="C206" s="1" t="n">
        <v>45568</v>
      </c>
      <c r="D206" t="inlineStr">
        <is>
          <t>ÖREBRO LÄN</t>
        </is>
      </c>
      <c r="E206" t="inlineStr">
        <is>
          <t>HALLSBERG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58462-2021</t>
        </is>
      </c>
      <c r="B207" s="1" t="n">
        <v>44488</v>
      </c>
      <c r="C207" s="1" t="n">
        <v>45568</v>
      </c>
      <c r="D207" t="inlineStr">
        <is>
          <t>ÖREBRO LÄN</t>
        </is>
      </c>
      <c r="E207" t="inlineStr">
        <is>
          <t>HALLSBERG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59176-2021</t>
        </is>
      </c>
      <c r="B208" s="1" t="n">
        <v>44490</v>
      </c>
      <c r="C208" s="1" t="n">
        <v>45568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60685-2021</t>
        </is>
      </c>
      <c r="B209" s="1" t="n">
        <v>44496</v>
      </c>
      <c r="C209" s="1" t="n">
        <v>45568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69079-2021</t>
        </is>
      </c>
      <c r="B210" s="1" t="n">
        <v>44530</v>
      </c>
      <c r="C210" s="1" t="n">
        <v>45568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69420-2021</t>
        </is>
      </c>
      <c r="B211" s="1" t="n">
        <v>44531</v>
      </c>
      <c r="C211" s="1" t="n">
        <v>45568</v>
      </c>
      <c r="D211" t="inlineStr">
        <is>
          <t>ÖREBRO LÄN</t>
        </is>
      </c>
      <c r="E211" t="inlineStr">
        <is>
          <t>HALLSBERG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69607-2021</t>
        </is>
      </c>
      <c r="B212" s="1" t="n">
        <v>44532</v>
      </c>
      <c r="C212" s="1" t="n">
        <v>45568</v>
      </c>
      <c r="D212" t="inlineStr">
        <is>
          <t>ÖREBRO LÄN</t>
        </is>
      </c>
      <c r="E212" t="inlineStr">
        <is>
          <t>HALLSBERG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70160-2021</t>
        </is>
      </c>
      <c r="B213" s="1" t="n">
        <v>44533</v>
      </c>
      <c r="C213" s="1" t="n">
        <v>45568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70153-2021</t>
        </is>
      </c>
      <c r="B214" s="1" t="n">
        <v>44533</v>
      </c>
      <c r="C214" s="1" t="n">
        <v>45568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71481-2021</t>
        </is>
      </c>
      <c r="B215" s="1" t="n">
        <v>44540</v>
      </c>
      <c r="C215" s="1" t="n">
        <v>45568</v>
      </c>
      <c r="D215" t="inlineStr">
        <is>
          <t>ÖREBRO LÄN</t>
        </is>
      </c>
      <c r="E215" t="inlineStr">
        <is>
          <t>HALLSBERG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73941-2021</t>
        </is>
      </c>
      <c r="B216" s="1" t="n">
        <v>44553</v>
      </c>
      <c r="C216" s="1" t="n">
        <v>45568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73947-2021</t>
        </is>
      </c>
      <c r="B217" s="1" t="n">
        <v>44553</v>
      </c>
      <c r="C217" s="1" t="n">
        <v>45568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765-2022</t>
        </is>
      </c>
      <c r="B218" s="1" t="n">
        <v>44570</v>
      </c>
      <c r="C218" s="1" t="n">
        <v>45568</v>
      </c>
      <c r="D218" t="inlineStr">
        <is>
          <t>ÖREBRO LÄN</t>
        </is>
      </c>
      <c r="E218" t="inlineStr">
        <is>
          <t>HALLSBERG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3366-2022</t>
        </is>
      </c>
      <c r="B219" s="1" t="n">
        <v>44585</v>
      </c>
      <c r="C219" s="1" t="n">
        <v>45568</v>
      </c>
      <c r="D219" t="inlineStr">
        <is>
          <t>ÖREBRO LÄN</t>
        </is>
      </c>
      <c r="E219" t="inlineStr">
        <is>
          <t>HALLSBERG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3675-2022</t>
        </is>
      </c>
      <c r="B220" s="1" t="n">
        <v>44586</v>
      </c>
      <c r="C220" s="1" t="n">
        <v>45568</v>
      </c>
      <c r="D220" t="inlineStr">
        <is>
          <t>ÖREBRO LÄN</t>
        </is>
      </c>
      <c r="E220" t="inlineStr">
        <is>
          <t>HALLSBERG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8252-2022</t>
        </is>
      </c>
      <c r="B221" s="1" t="n">
        <v>44610</v>
      </c>
      <c r="C221" s="1" t="n">
        <v>45568</v>
      </c>
      <c r="D221" t="inlineStr">
        <is>
          <t>ÖREBRO LÄN</t>
        </is>
      </c>
      <c r="E221" t="inlineStr">
        <is>
          <t>HALLSBERG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8606-2022</t>
        </is>
      </c>
      <c r="B222" s="1" t="n">
        <v>44610</v>
      </c>
      <c r="C222" s="1" t="n">
        <v>45568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8869-2022</t>
        </is>
      </c>
      <c r="B223" s="1" t="n">
        <v>44614</v>
      </c>
      <c r="C223" s="1" t="n">
        <v>45568</v>
      </c>
      <c r="D223" t="inlineStr">
        <is>
          <t>ÖREBRO LÄN</t>
        </is>
      </c>
      <c r="E223" t="inlineStr">
        <is>
          <t>HALLSBERG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9126-2022</t>
        </is>
      </c>
      <c r="B224" s="1" t="n">
        <v>44615</v>
      </c>
      <c r="C224" s="1" t="n">
        <v>45568</v>
      </c>
      <c r="D224" t="inlineStr">
        <is>
          <t>ÖREBRO LÄN</t>
        </is>
      </c>
      <c r="E224" t="inlineStr">
        <is>
          <t>HALLSBERG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9412-2022</t>
        </is>
      </c>
      <c r="B225" s="1" t="n">
        <v>44616</v>
      </c>
      <c r="C225" s="1" t="n">
        <v>45568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28.8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9426-2022</t>
        </is>
      </c>
      <c r="B226" s="1" t="n">
        <v>44616</v>
      </c>
      <c r="C226" s="1" t="n">
        <v>45568</v>
      </c>
      <c r="D226" t="inlineStr">
        <is>
          <t>ÖREBRO LÄN</t>
        </is>
      </c>
      <c r="E226" t="inlineStr">
        <is>
          <t>HALLSBERG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9414-2022</t>
        </is>
      </c>
      <c r="B227" s="1" t="n">
        <v>44616</v>
      </c>
      <c r="C227" s="1" t="n">
        <v>45568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10863-2022</t>
        </is>
      </c>
      <c r="B228" s="1" t="n">
        <v>44627</v>
      </c>
      <c r="C228" s="1" t="n">
        <v>45568</v>
      </c>
      <c r="D228" t="inlineStr">
        <is>
          <t>ÖREBRO LÄN</t>
        </is>
      </c>
      <c r="E228" t="inlineStr">
        <is>
          <t>HALLSBERG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12053-2022</t>
        </is>
      </c>
      <c r="B229" s="1" t="n">
        <v>44636</v>
      </c>
      <c r="C229" s="1" t="n">
        <v>45568</v>
      </c>
      <c r="D229" t="inlineStr">
        <is>
          <t>ÖREBRO LÄN</t>
        </is>
      </c>
      <c r="E229" t="inlineStr">
        <is>
          <t>HALLSBERG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12471-2022</t>
        </is>
      </c>
      <c r="B230" s="1" t="n">
        <v>44638</v>
      </c>
      <c r="C230" s="1" t="n">
        <v>45568</v>
      </c>
      <c r="D230" t="inlineStr">
        <is>
          <t>ÖREBRO LÄN</t>
        </is>
      </c>
      <c r="E230" t="inlineStr">
        <is>
          <t>HALLSBERG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12520-2022</t>
        </is>
      </c>
      <c r="B231" s="1" t="n">
        <v>44638</v>
      </c>
      <c r="C231" s="1" t="n">
        <v>45568</v>
      </c>
      <c r="D231" t="inlineStr">
        <is>
          <t>ÖREBRO LÄN</t>
        </is>
      </c>
      <c r="E231" t="inlineStr">
        <is>
          <t>HALLSBERG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13120-2022</t>
        </is>
      </c>
      <c r="B232" s="1" t="n">
        <v>44643</v>
      </c>
      <c r="C232" s="1" t="n">
        <v>45568</v>
      </c>
      <c r="D232" t="inlineStr">
        <is>
          <t>ÖREBRO LÄN</t>
        </is>
      </c>
      <c r="E232" t="inlineStr">
        <is>
          <t>HALLSBERG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13660-2022</t>
        </is>
      </c>
      <c r="B233" s="1" t="n">
        <v>44648</v>
      </c>
      <c r="C233" s="1" t="n">
        <v>45568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14348-2022</t>
        </is>
      </c>
      <c r="B234" s="1" t="n">
        <v>44651</v>
      </c>
      <c r="C234" s="1" t="n">
        <v>45568</v>
      </c>
      <c r="D234" t="inlineStr">
        <is>
          <t>ÖREBRO LÄN</t>
        </is>
      </c>
      <c r="E234" t="inlineStr">
        <is>
          <t>HALLSBERG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14333-2022</t>
        </is>
      </c>
      <c r="B235" s="1" t="n">
        <v>44651</v>
      </c>
      <c r="C235" s="1" t="n">
        <v>45568</v>
      </c>
      <c r="D235" t="inlineStr">
        <is>
          <t>ÖREBRO LÄN</t>
        </is>
      </c>
      <c r="E235" t="inlineStr">
        <is>
          <t>HALLSBERG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14335-2022</t>
        </is>
      </c>
      <c r="B236" s="1" t="n">
        <v>44651</v>
      </c>
      <c r="C236" s="1" t="n">
        <v>45568</v>
      </c>
      <c r="D236" t="inlineStr">
        <is>
          <t>ÖREBRO LÄN</t>
        </is>
      </c>
      <c r="E236" t="inlineStr">
        <is>
          <t>HALLSBERG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14345-2022</t>
        </is>
      </c>
      <c r="B237" s="1" t="n">
        <v>44651</v>
      </c>
      <c r="C237" s="1" t="n">
        <v>45568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14928-2022</t>
        </is>
      </c>
      <c r="B238" s="1" t="n">
        <v>44657</v>
      </c>
      <c r="C238" s="1" t="n">
        <v>45568</v>
      </c>
      <c r="D238" t="inlineStr">
        <is>
          <t>ÖREBRO LÄN</t>
        </is>
      </c>
      <c r="E238" t="inlineStr">
        <is>
          <t>HALLSBERG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15086-2022</t>
        </is>
      </c>
      <c r="B239" s="1" t="n">
        <v>44657</v>
      </c>
      <c r="C239" s="1" t="n">
        <v>45568</v>
      </c>
      <c r="D239" t="inlineStr">
        <is>
          <t>ÖREBRO LÄN</t>
        </is>
      </c>
      <c r="E239" t="inlineStr">
        <is>
          <t>HALLSBERG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16092-2022</t>
        </is>
      </c>
      <c r="B240" s="1" t="n">
        <v>44665</v>
      </c>
      <c r="C240" s="1" t="n">
        <v>45568</v>
      </c>
      <c r="D240" t="inlineStr">
        <is>
          <t>ÖREBRO LÄN</t>
        </is>
      </c>
      <c r="E240" t="inlineStr">
        <is>
          <t>HALLSBERG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16085-2022</t>
        </is>
      </c>
      <c r="B241" s="1" t="n">
        <v>44665</v>
      </c>
      <c r="C241" s="1" t="n">
        <v>45568</v>
      </c>
      <c r="D241" t="inlineStr">
        <is>
          <t>ÖREBRO LÄN</t>
        </is>
      </c>
      <c r="E241" t="inlineStr">
        <is>
          <t>HALLSBERG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17003-2022</t>
        </is>
      </c>
      <c r="B242" s="1" t="n">
        <v>44676</v>
      </c>
      <c r="C242" s="1" t="n">
        <v>45568</v>
      </c>
      <c r="D242" t="inlineStr">
        <is>
          <t>ÖREBRO LÄN</t>
        </is>
      </c>
      <c r="E242" t="inlineStr">
        <is>
          <t>HALLSBERG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17544-2022</t>
        </is>
      </c>
      <c r="B243" s="1" t="n">
        <v>44679</v>
      </c>
      <c r="C243" s="1" t="n">
        <v>45568</v>
      </c>
      <c r="D243" t="inlineStr">
        <is>
          <t>ÖREBRO LÄN</t>
        </is>
      </c>
      <c r="E243" t="inlineStr">
        <is>
          <t>HALLSBERG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17572-2022</t>
        </is>
      </c>
      <c r="B244" s="1" t="n">
        <v>44679</v>
      </c>
      <c r="C244" s="1" t="n">
        <v>45568</v>
      </c>
      <c r="D244" t="inlineStr">
        <is>
          <t>ÖREBRO LÄN</t>
        </is>
      </c>
      <c r="E244" t="inlineStr">
        <is>
          <t>HALLSBERG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18512-2022</t>
        </is>
      </c>
      <c r="B245" s="1" t="n">
        <v>44686</v>
      </c>
      <c r="C245" s="1" t="n">
        <v>45568</v>
      </c>
      <c r="D245" t="inlineStr">
        <is>
          <t>ÖREBRO LÄN</t>
        </is>
      </c>
      <c r="E245" t="inlineStr">
        <is>
          <t>HALLSBERG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19849-2022</t>
        </is>
      </c>
      <c r="B246" s="1" t="n">
        <v>44696</v>
      </c>
      <c r="C246" s="1" t="n">
        <v>45568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19853-2022</t>
        </is>
      </c>
      <c r="B247" s="1" t="n">
        <v>44697</v>
      </c>
      <c r="C247" s="1" t="n">
        <v>45568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19855-2022</t>
        </is>
      </c>
      <c r="B248" s="1" t="n">
        <v>44697</v>
      </c>
      <c r="C248" s="1" t="n">
        <v>45568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21343-2022</t>
        </is>
      </c>
      <c r="B249" s="1" t="n">
        <v>44705</v>
      </c>
      <c r="C249" s="1" t="n">
        <v>45568</v>
      </c>
      <c r="D249" t="inlineStr">
        <is>
          <t>ÖREBRO LÄN</t>
        </is>
      </c>
      <c r="E249" t="inlineStr">
        <is>
          <t>HALLSBERG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23330-2022</t>
        </is>
      </c>
      <c r="B250" s="1" t="n">
        <v>44720</v>
      </c>
      <c r="C250" s="1" t="n">
        <v>45568</v>
      </c>
      <c r="D250" t="inlineStr">
        <is>
          <t>ÖREBRO LÄN</t>
        </is>
      </c>
      <c r="E250" t="inlineStr">
        <is>
          <t>HALLSBERG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25480-2022</t>
        </is>
      </c>
      <c r="B251" s="1" t="n">
        <v>44732</v>
      </c>
      <c r="C251" s="1" t="n">
        <v>45568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25459-2022</t>
        </is>
      </c>
      <c r="B252" s="1" t="n">
        <v>44732</v>
      </c>
      <c r="C252" s="1" t="n">
        <v>45568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25491-2022</t>
        </is>
      </c>
      <c r="B253" s="1" t="n">
        <v>44732</v>
      </c>
      <c r="C253" s="1" t="n">
        <v>45568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27396-2022</t>
        </is>
      </c>
      <c r="B254" s="1" t="n">
        <v>44742</v>
      </c>
      <c r="C254" s="1" t="n">
        <v>45568</v>
      </c>
      <c r="D254" t="inlineStr">
        <is>
          <t>ÖREBRO LÄN</t>
        </is>
      </c>
      <c r="E254" t="inlineStr">
        <is>
          <t>HALLSBERG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29859-2022</t>
        </is>
      </c>
      <c r="B255" s="1" t="n">
        <v>44756</v>
      </c>
      <c r="C255" s="1" t="n">
        <v>45568</v>
      </c>
      <c r="D255" t="inlineStr">
        <is>
          <t>ÖREBRO LÄN</t>
        </is>
      </c>
      <c r="E255" t="inlineStr">
        <is>
          <t>HALLSBERG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30144-2022</t>
        </is>
      </c>
      <c r="B256" s="1" t="n">
        <v>44757</v>
      </c>
      <c r="C256" s="1" t="n">
        <v>45568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30145-2022</t>
        </is>
      </c>
      <c r="B257" s="1" t="n">
        <v>44757</v>
      </c>
      <c r="C257" s="1" t="n">
        <v>45568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30621-2022</t>
        </is>
      </c>
      <c r="B258" s="1" t="n">
        <v>44763</v>
      </c>
      <c r="C258" s="1" t="n">
        <v>45568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31612-2022</t>
        </is>
      </c>
      <c r="B259" s="1" t="n">
        <v>44775</v>
      </c>
      <c r="C259" s="1" t="n">
        <v>45568</v>
      </c>
      <c r="D259" t="inlineStr">
        <is>
          <t>ÖREBRO LÄN</t>
        </is>
      </c>
      <c r="E259" t="inlineStr">
        <is>
          <t>HALLSBERG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31615-2022</t>
        </is>
      </c>
      <c r="B260" s="1" t="n">
        <v>44775</v>
      </c>
      <c r="C260" s="1" t="n">
        <v>45568</v>
      </c>
      <c r="D260" t="inlineStr">
        <is>
          <t>ÖREBRO LÄN</t>
        </is>
      </c>
      <c r="E260" t="inlineStr">
        <is>
          <t>HALLSBERG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31747-2022</t>
        </is>
      </c>
      <c r="B261" s="1" t="n">
        <v>44776</v>
      </c>
      <c r="C261" s="1" t="n">
        <v>45568</v>
      </c>
      <c r="D261" t="inlineStr">
        <is>
          <t>ÖREBRO LÄN</t>
        </is>
      </c>
      <c r="E261" t="inlineStr">
        <is>
          <t>HALLSBERG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31818-2022</t>
        </is>
      </c>
      <c r="B262" s="1" t="n">
        <v>44776</v>
      </c>
      <c r="C262" s="1" t="n">
        <v>45568</v>
      </c>
      <c r="D262" t="inlineStr">
        <is>
          <t>ÖREBRO LÄN</t>
        </is>
      </c>
      <c r="E262" t="inlineStr">
        <is>
          <t>HALLSBERG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31893-2022</t>
        </is>
      </c>
      <c r="B263" s="1" t="n">
        <v>44777</v>
      </c>
      <c r="C263" s="1" t="n">
        <v>45568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31912-2022</t>
        </is>
      </c>
      <c r="B264" s="1" t="n">
        <v>44777</v>
      </c>
      <c r="C264" s="1" t="n">
        <v>45568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31994-2022</t>
        </is>
      </c>
      <c r="B265" s="1" t="n">
        <v>44778</v>
      </c>
      <c r="C265" s="1" t="n">
        <v>45568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32512-2022</t>
        </is>
      </c>
      <c r="B266" s="1" t="n">
        <v>44782</v>
      </c>
      <c r="C266" s="1" t="n">
        <v>45568</v>
      </c>
      <c r="D266" t="inlineStr">
        <is>
          <t>ÖREBRO LÄN</t>
        </is>
      </c>
      <c r="E266" t="inlineStr">
        <is>
          <t>HALLSBERG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33405-2022</t>
        </is>
      </c>
      <c r="B267" s="1" t="n">
        <v>44788</v>
      </c>
      <c r="C267" s="1" t="n">
        <v>45568</v>
      </c>
      <c r="D267" t="inlineStr">
        <is>
          <t>ÖREBRO LÄN</t>
        </is>
      </c>
      <c r="E267" t="inlineStr">
        <is>
          <t>HALLSBERG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34227-2022</t>
        </is>
      </c>
      <c r="B268" s="1" t="n">
        <v>44791</v>
      </c>
      <c r="C268" s="1" t="n">
        <v>45568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34222-2022</t>
        </is>
      </c>
      <c r="B269" s="1" t="n">
        <v>44791</v>
      </c>
      <c r="C269" s="1" t="n">
        <v>45568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35097-2022</t>
        </is>
      </c>
      <c r="B270" s="1" t="n">
        <v>44797</v>
      </c>
      <c r="C270" s="1" t="n">
        <v>45568</v>
      </c>
      <c r="D270" t="inlineStr">
        <is>
          <t>ÖREBRO LÄN</t>
        </is>
      </c>
      <c r="E270" t="inlineStr">
        <is>
          <t>HALLSBERG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35095-2022</t>
        </is>
      </c>
      <c r="B271" s="1" t="n">
        <v>44797</v>
      </c>
      <c r="C271" s="1" t="n">
        <v>45568</v>
      </c>
      <c r="D271" t="inlineStr">
        <is>
          <t>ÖREBRO LÄN</t>
        </is>
      </c>
      <c r="E271" t="inlineStr">
        <is>
          <t>HALLSBERG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35421-2022</t>
        </is>
      </c>
      <c r="B272" s="1" t="n">
        <v>44798</v>
      </c>
      <c r="C272" s="1" t="n">
        <v>45568</v>
      </c>
      <c r="D272" t="inlineStr">
        <is>
          <t>ÖREBRO LÄN</t>
        </is>
      </c>
      <c r="E272" t="inlineStr">
        <is>
          <t>HALLSBERG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35428-2022</t>
        </is>
      </c>
      <c r="B273" s="1" t="n">
        <v>44798</v>
      </c>
      <c r="C273" s="1" t="n">
        <v>45568</v>
      </c>
      <c r="D273" t="inlineStr">
        <is>
          <t>ÖREBRO LÄN</t>
        </is>
      </c>
      <c r="E273" t="inlineStr">
        <is>
          <t>HALLSBERG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36276-2022</t>
        </is>
      </c>
      <c r="B274" s="1" t="n">
        <v>44803</v>
      </c>
      <c r="C274" s="1" t="n">
        <v>45568</v>
      </c>
      <c r="D274" t="inlineStr">
        <is>
          <t>ÖREBRO LÄN</t>
        </is>
      </c>
      <c r="E274" t="inlineStr">
        <is>
          <t>HALLSBERG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38831-2022</t>
        </is>
      </c>
      <c r="B275" s="1" t="n">
        <v>44814</v>
      </c>
      <c r="C275" s="1" t="n">
        <v>45568</v>
      </c>
      <c r="D275" t="inlineStr">
        <is>
          <t>ÖREBRO LÄN</t>
        </is>
      </c>
      <c r="E275" t="inlineStr">
        <is>
          <t>HALLSBERG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38921-2022</t>
        </is>
      </c>
      <c r="B276" s="1" t="n">
        <v>44816</v>
      </c>
      <c r="C276" s="1" t="n">
        <v>45568</v>
      </c>
      <c r="D276" t="inlineStr">
        <is>
          <t>ÖREBRO LÄN</t>
        </is>
      </c>
      <c r="E276" t="inlineStr">
        <is>
          <t>HALLSBERG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38918-2022</t>
        </is>
      </c>
      <c r="B277" s="1" t="n">
        <v>44816</v>
      </c>
      <c r="C277" s="1" t="n">
        <v>45568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39725-2022</t>
        </is>
      </c>
      <c r="B278" s="1" t="n">
        <v>44816</v>
      </c>
      <c r="C278" s="1" t="n">
        <v>45568</v>
      </c>
      <c r="D278" t="inlineStr">
        <is>
          <t>ÖREBRO LÄN</t>
        </is>
      </c>
      <c r="E278" t="inlineStr">
        <is>
          <t>HALLSBERG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41595-2022</t>
        </is>
      </c>
      <c r="B279" s="1" t="n">
        <v>44827</v>
      </c>
      <c r="C279" s="1" t="n">
        <v>45568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41602-2022</t>
        </is>
      </c>
      <c r="B280" s="1" t="n">
        <v>44827</v>
      </c>
      <c r="C280" s="1" t="n">
        <v>45568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42206-2022</t>
        </is>
      </c>
      <c r="B281" s="1" t="n">
        <v>44830</v>
      </c>
      <c r="C281" s="1" t="n">
        <v>45568</v>
      </c>
      <c r="D281" t="inlineStr">
        <is>
          <t>ÖREBRO LÄN</t>
        </is>
      </c>
      <c r="E281" t="inlineStr">
        <is>
          <t>HALLSBERG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42559-2022</t>
        </is>
      </c>
      <c r="B282" s="1" t="n">
        <v>44831</v>
      </c>
      <c r="C282" s="1" t="n">
        <v>45568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43679-2022</t>
        </is>
      </c>
      <c r="B283" s="1" t="n">
        <v>44837</v>
      </c>
      <c r="C283" s="1" t="n">
        <v>45568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44210-2022</t>
        </is>
      </c>
      <c r="B284" s="1" t="n">
        <v>44839</v>
      </c>
      <c r="C284" s="1" t="n">
        <v>45568</v>
      </c>
      <c r="D284" t="inlineStr">
        <is>
          <t>ÖREBRO LÄN</t>
        </is>
      </c>
      <c r="E284" t="inlineStr">
        <is>
          <t>HALLSBERG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44216-2022</t>
        </is>
      </c>
      <c r="B285" s="1" t="n">
        <v>44839</v>
      </c>
      <c r="C285" s="1" t="n">
        <v>45568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44512-2022</t>
        </is>
      </c>
      <c r="B286" s="1" t="n">
        <v>44840</v>
      </c>
      <c r="C286" s="1" t="n">
        <v>45568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45360-2022</t>
        </is>
      </c>
      <c r="B287" s="1" t="n">
        <v>44844</v>
      </c>
      <c r="C287" s="1" t="n">
        <v>45568</v>
      </c>
      <c r="D287" t="inlineStr">
        <is>
          <t>ÖREBRO LÄN</t>
        </is>
      </c>
      <c r="E287" t="inlineStr">
        <is>
          <t>HALLSBERG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45341-2022</t>
        </is>
      </c>
      <c r="B288" s="1" t="n">
        <v>44844</v>
      </c>
      <c r="C288" s="1" t="n">
        <v>45568</v>
      </c>
      <c r="D288" t="inlineStr">
        <is>
          <t>ÖREBRO LÄN</t>
        </is>
      </c>
      <c r="E288" t="inlineStr">
        <is>
          <t>HALLSBERG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46416-2022</t>
        </is>
      </c>
      <c r="B289" s="1" t="n">
        <v>44848</v>
      </c>
      <c r="C289" s="1" t="n">
        <v>45568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46421-2022</t>
        </is>
      </c>
      <c r="B290" s="1" t="n">
        <v>44848</v>
      </c>
      <c r="C290" s="1" t="n">
        <v>45568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48029-2022</t>
        </is>
      </c>
      <c r="B291" s="1" t="n">
        <v>44855</v>
      </c>
      <c r="C291" s="1" t="n">
        <v>45568</v>
      </c>
      <c r="D291" t="inlineStr">
        <is>
          <t>ÖREBRO LÄN</t>
        </is>
      </c>
      <c r="E291" t="inlineStr">
        <is>
          <t>HALLSBERG</t>
        </is>
      </c>
      <c r="F291" t="inlineStr">
        <is>
          <t>Allmännings- och besparingsskogar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48294-2022</t>
        </is>
      </c>
      <c r="B292" s="1" t="n">
        <v>44858</v>
      </c>
      <c r="C292" s="1" t="n">
        <v>45568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48883-2022</t>
        </is>
      </c>
      <c r="B293" s="1" t="n">
        <v>44859</v>
      </c>
      <c r="C293" s="1" t="n">
        <v>45568</v>
      </c>
      <c r="D293" t="inlineStr">
        <is>
          <t>ÖREBRO LÄN</t>
        </is>
      </c>
      <c r="E293" t="inlineStr">
        <is>
          <t>HALLSBERG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49582-2022</t>
        </is>
      </c>
      <c r="B294" s="1" t="n">
        <v>44862</v>
      </c>
      <c r="C294" s="1" t="n">
        <v>45568</v>
      </c>
      <c r="D294" t="inlineStr">
        <is>
          <t>ÖREBRO LÄN</t>
        </is>
      </c>
      <c r="E294" t="inlineStr">
        <is>
          <t>HALLSBERG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49645-2022</t>
        </is>
      </c>
      <c r="B295" s="1" t="n">
        <v>44862</v>
      </c>
      <c r="C295" s="1" t="n">
        <v>45568</v>
      </c>
      <c r="D295" t="inlineStr">
        <is>
          <t>ÖREBRO LÄN</t>
        </is>
      </c>
      <c r="E295" t="inlineStr">
        <is>
          <t>HALLSBERG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49684-2022</t>
        </is>
      </c>
      <c r="B296" s="1" t="n">
        <v>44862</v>
      </c>
      <c r="C296" s="1" t="n">
        <v>45568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50958-2022</t>
        </is>
      </c>
      <c r="B297" s="1" t="n">
        <v>44867</v>
      </c>
      <c r="C297" s="1" t="n">
        <v>45568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51175-2022</t>
        </is>
      </c>
      <c r="B298" s="1" t="n">
        <v>44868</v>
      </c>
      <c r="C298" s="1" t="n">
        <v>45568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51479-2022</t>
        </is>
      </c>
      <c r="B299" s="1" t="n">
        <v>44869</v>
      </c>
      <c r="C299" s="1" t="n">
        <v>45568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55049-2022</t>
        </is>
      </c>
      <c r="B300" s="1" t="n">
        <v>44886</v>
      </c>
      <c r="C300" s="1" t="n">
        <v>45568</v>
      </c>
      <c r="D300" t="inlineStr">
        <is>
          <t>ÖREBRO LÄN</t>
        </is>
      </c>
      <c r="E300" t="inlineStr">
        <is>
          <t>HALLSBERG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57251-2022</t>
        </is>
      </c>
      <c r="B301" s="1" t="n">
        <v>44895</v>
      </c>
      <c r="C301" s="1" t="n">
        <v>45568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61448-2022</t>
        </is>
      </c>
      <c r="B302" s="1" t="n">
        <v>44916</v>
      </c>
      <c r="C302" s="1" t="n">
        <v>45568</v>
      </c>
      <c r="D302" t="inlineStr">
        <is>
          <t>ÖREBRO LÄN</t>
        </is>
      </c>
      <c r="E302" t="inlineStr">
        <is>
          <t>HALLSBERG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348-2023</t>
        </is>
      </c>
      <c r="B303" s="1" t="n">
        <v>44929</v>
      </c>
      <c r="C303" s="1" t="n">
        <v>45568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349-2023</t>
        </is>
      </c>
      <c r="B304" s="1" t="n">
        <v>44929</v>
      </c>
      <c r="C304" s="1" t="n">
        <v>45568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384-2023</t>
        </is>
      </c>
      <c r="B305" s="1" t="n">
        <v>44929</v>
      </c>
      <c r="C305" s="1" t="n">
        <v>45568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517-2023</t>
        </is>
      </c>
      <c r="B306" s="1" t="n">
        <v>44930</v>
      </c>
      <c r="C306" s="1" t="n">
        <v>45568</v>
      </c>
      <c r="D306" t="inlineStr">
        <is>
          <t>ÖREBRO LÄN</t>
        </is>
      </c>
      <c r="E306" t="inlineStr">
        <is>
          <t>HALLSBERG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869-2023</t>
        </is>
      </c>
      <c r="B307" s="1" t="n">
        <v>44931</v>
      </c>
      <c r="C307" s="1" t="n">
        <v>45568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840-2023</t>
        </is>
      </c>
      <c r="B308" s="1" t="n">
        <v>44931</v>
      </c>
      <c r="C308" s="1" t="n">
        <v>45568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867-2023</t>
        </is>
      </c>
      <c r="B309" s="1" t="n">
        <v>44931</v>
      </c>
      <c r="C309" s="1" t="n">
        <v>45568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956-2023</t>
        </is>
      </c>
      <c r="B310" s="1" t="n">
        <v>44934</v>
      </c>
      <c r="C310" s="1" t="n">
        <v>45568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958-2023</t>
        </is>
      </c>
      <c r="B311" s="1" t="n">
        <v>44934</v>
      </c>
      <c r="C311" s="1" t="n">
        <v>45568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4116-2023</t>
        </is>
      </c>
      <c r="B312" s="1" t="n">
        <v>44952</v>
      </c>
      <c r="C312" s="1" t="n">
        <v>45568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4587-2023</t>
        </is>
      </c>
      <c r="B313" s="1" t="n">
        <v>44956</v>
      </c>
      <c r="C313" s="1" t="n">
        <v>45568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4589-2023</t>
        </is>
      </c>
      <c r="B314" s="1" t="n">
        <v>44956</v>
      </c>
      <c r="C314" s="1" t="n">
        <v>45568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4588-2023</t>
        </is>
      </c>
      <c r="B315" s="1" t="n">
        <v>44956</v>
      </c>
      <c r="C315" s="1" t="n">
        <v>45568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5085-2023</t>
        </is>
      </c>
      <c r="B316" s="1" t="n">
        <v>44958</v>
      </c>
      <c r="C316" s="1" t="n">
        <v>45568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5110-2023</t>
        </is>
      </c>
      <c r="B317" s="1" t="n">
        <v>44958</v>
      </c>
      <c r="C317" s="1" t="n">
        <v>45568</v>
      </c>
      <c r="D317" t="inlineStr">
        <is>
          <t>ÖREBRO LÄN</t>
        </is>
      </c>
      <c r="E317" t="inlineStr">
        <is>
          <t>HALLSBERG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5601-2023</t>
        </is>
      </c>
      <c r="B318" s="1" t="n">
        <v>44960</v>
      </c>
      <c r="C318" s="1" t="n">
        <v>45568</v>
      </c>
      <c r="D318" t="inlineStr">
        <is>
          <t>ÖREBRO LÄN</t>
        </is>
      </c>
      <c r="E318" t="inlineStr">
        <is>
          <t>HALLSBERG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5608-2023</t>
        </is>
      </c>
      <c r="B319" s="1" t="n">
        <v>44960</v>
      </c>
      <c r="C319" s="1" t="n">
        <v>45568</v>
      </c>
      <c r="D319" t="inlineStr">
        <is>
          <t>ÖREBRO LÄN</t>
        </is>
      </c>
      <c r="E319" t="inlineStr">
        <is>
          <t>HALLSBERG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5617-2023</t>
        </is>
      </c>
      <c r="B320" s="1" t="n">
        <v>44960</v>
      </c>
      <c r="C320" s="1" t="n">
        <v>45568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5604-2023</t>
        </is>
      </c>
      <c r="B321" s="1" t="n">
        <v>44960</v>
      </c>
      <c r="C321" s="1" t="n">
        <v>45568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6565-2023</t>
        </is>
      </c>
      <c r="B322" s="1" t="n">
        <v>44966</v>
      </c>
      <c r="C322" s="1" t="n">
        <v>45568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6876-2023</t>
        </is>
      </c>
      <c r="B323" s="1" t="n">
        <v>44967</v>
      </c>
      <c r="C323" s="1" t="n">
        <v>45568</v>
      </c>
      <c r="D323" t="inlineStr">
        <is>
          <t>ÖREBRO LÄN</t>
        </is>
      </c>
      <c r="E323" t="inlineStr">
        <is>
          <t>HALLSBERG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7867-2023</t>
        </is>
      </c>
      <c r="B324" s="1" t="n">
        <v>44973</v>
      </c>
      <c r="C324" s="1" t="n">
        <v>45568</v>
      </c>
      <c r="D324" t="inlineStr">
        <is>
          <t>ÖREBRO LÄN</t>
        </is>
      </c>
      <c r="E324" t="inlineStr">
        <is>
          <t>HALLSBERG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8278-2023</t>
        </is>
      </c>
      <c r="B325" s="1" t="n">
        <v>44974</v>
      </c>
      <c r="C325" s="1" t="n">
        <v>45568</v>
      </c>
      <c r="D325" t="inlineStr">
        <is>
          <t>ÖREBRO LÄN</t>
        </is>
      </c>
      <c r="E325" t="inlineStr">
        <is>
          <t>HALLSBERG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8276-2023</t>
        </is>
      </c>
      <c r="B326" s="1" t="n">
        <v>44974</v>
      </c>
      <c r="C326" s="1" t="n">
        <v>45568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9663-2023</t>
        </is>
      </c>
      <c r="B327" s="1" t="n">
        <v>44978</v>
      </c>
      <c r="C327" s="1" t="n">
        <v>45568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9073-2023</t>
        </is>
      </c>
      <c r="B328" s="1" t="n">
        <v>44979</v>
      </c>
      <c r="C328" s="1" t="n">
        <v>45568</v>
      </c>
      <c r="D328" t="inlineStr">
        <is>
          <t>ÖREBRO LÄN</t>
        </is>
      </c>
      <c r="E328" t="inlineStr">
        <is>
          <t>HALLSBERG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9569-2023</t>
        </is>
      </c>
      <c r="B329" s="1" t="n">
        <v>44982</v>
      </c>
      <c r="C329" s="1" t="n">
        <v>45568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12133-2023</t>
        </is>
      </c>
      <c r="B330" s="1" t="n">
        <v>44998</v>
      </c>
      <c r="C330" s="1" t="n">
        <v>45568</v>
      </c>
      <c r="D330" t="inlineStr">
        <is>
          <t>ÖREBRO LÄN</t>
        </is>
      </c>
      <c r="E330" t="inlineStr">
        <is>
          <t>HALLSBERG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12679-2023</t>
        </is>
      </c>
      <c r="B331" s="1" t="n">
        <v>45000</v>
      </c>
      <c r="C331" s="1" t="n">
        <v>45568</v>
      </c>
      <c r="D331" t="inlineStr">
        <is>
          <t>ÖREBRO LÄN</t>
        </is>
      </c>
      <c r="E331" t="inlineStr">
        <is>
          <t>HALLSBERG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13168-2023</t>
        </is>
      </c>
      <c r="B332" s="1" t="n">
        <v>45002</v>
      </c>
      <c r="C332" s="1" t="n">
        <v>45568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13190-2023</t>
        </is>
      </c>
      <c r="B333" s="1" t="n">
        <v>45002</v>
      </c>
      <c r="C333" s="1" t="n">
        <v>45568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13203-2023</t>
        </is>
      </c>
      <c r="B334" s="1" t="n">
        <v>45002</v>
      </c>
      <c r="C334" s="1" t="n">
        <v>45568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13851-2023</t>
        </is>
      </c>
      <c r="B335" s="1" t="n">
        <v>45007</v>
      </c>
      <c r="C335" s="1" t="n">
        <v>45568</v>
      </c>
      <c r="D335" t="inlineStr">
        <is>
          <t>ÖREBRO LÄN</t>
        </is>
      </c>
      <c r="E335" t="inlineStr">
        <is>
          <t>HALLSBERG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14288-2023</t>
        </is>
      </c>
      <c r="B336" s="1" t="n">
        <v>45010</v>
      </c>
      <c r="C336" s="1" t="n">
        <v>45568</v>
      </c>
      <c r="D336" t="inlineStr">
        <is>
          <t>ÖREBRO LÄN</t>
        </is>
      </c>
      <c r="E336" t="inlineStr">
        <is>
          <t>HALLSBERG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14410-2023</t>
        </is>
      </c>
      <c r="B337" s="1" t="n">
        <v>45012</v>
      </c>
      <c r="C337" s="1" t="n">
        <v>45568</v>
      </c>
      <c r="D337" t="inlineStr">
        <is>
          <t>ÖREBRO LÄN</t>
        </is>
      </c>
      <c r="E337" t="inlineStr">
        <is>
          <t>HALLSBERG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14451-2023</t>
        </is>
      </c>
      <c r="B338" s="1" t="n">
        <v>45012</v>
      </c>
      <c r="C338" s="1" t="n">
        <v>45568</v>
      </c>
      <c r="D338" t="inlineStr">
        <is>
          <t>ÖREBRO LÄN</t>
        </is>
      </c>
      <c r="E338" t="inlineStr">
        <is>
          <t>HALLSBERG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14456-2023</t>
        </is>
      </c>
      <c r="B339" s="1" t="n">
        <v>45012</v>
      </c>
      <c r="C339" s="1" t="n">
        <v>45568</v>
      </c>
      <c r="D339" t="inlineStr">
        <is>
          <t>ÖREBRO LÄN</t>
        </is>
      </c>
      <c r="E339" t="inlineStr">
        <is>
          <t>HALLSBERG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15977-2023</t>
        </is>
      </c>
      <c r="B340" s="1" t="n">
        <v>45022</v>
      </c>
      <c r="C340" s="1" t="n">
        <v>45568</v>
      </c>
      <c r="D340" t="inlineStr">
        <is>
          <t>ÖREBRO LÄN</t>
        </is>
      </c>
      <c r="E340" t="inlineStr">
        <is>
          <t>HALLSBERG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17017-2023</t>
        </is>
      </c>
      <c r="B341" s="1" t="n">
        <v>45034</v>
      </c>
      <c r="C341" s="1" t="n">
        <v>45568</v>
      </c>
      <c r="D341" t="inlineStr">
        <is>
          <t>ÖREBRO LÄN</t>
        </is>
      </c>
      <c r="E341" t="inlineStr">
        <is>
          <t>HALLSBERG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17014-2023</t>
        </is>
      </c>
      <c r="B342" s="1" t="n">
        <v>45034</v>
      </c>
      <c r="C342" s="1" t="n">
        <v>45568</v>
      </c>
      <c r="D342" t="inlineStr">
        <is>
          <t>ÖREBRO LÄN</t>
        </is>
      </c>
      <c r="E342" t="inlineStr">
        <is>
          <t>HALLSBERG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17020-2023</t>
        </is>
      </c>
      <c r="B343" s="1" t="n">
        <v>45034</v>
      </c>
      <c r="C343" s="1" t="n">
        <v>45568</v>
      </c>
      <c r="D343" t="inlineStr">
        <is>
          <t>ÖREBRO LÄN</t>
        </is>
      </c>
      <c r="E343" t="inlineStr">
        <is>
          <t>HALLSBERG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17016-2023</t>
        </is>
      </c>
      <c r="B344" s="1" t="n">
        <v>45034</v>
      </c>
      <c r="C344" s="1" t="n">
        <v>45568</v>
      </c>
      <c r="D344" t="inlineStr">
        <is>
          <t>ÖREBRO LÄN</t>
        </is>
      </c>
      <c r="E344" t="inlineStr">
        <is>
          <t>HALLSBERG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17301-2023</t>
        </is>
      </c>
      <c r="B345" s="1" t="n">
        <v>45035</v>
      </c>
      <c r="C345" s="1" t="n">
        <v>45568</v>
      </c>
      <c r="D345" t="inlineStr">
        <is>
          <t>ÖREBRO LÄN</t>
        </is>
      </c>
      <c r="E345" t="inlineStr">
        <is>
          <t>HALLSBERG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45568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19408-2023</t>
        </is>
      </c>
      <c r="B347" s="1" t="n">
        <v>45049</v>
      </c>
      <c r="C347" s="1" t="n">
        <v>45568</v>
      </c>
      <c r="D347" t="inlineStr">
        <is>
          <t>ÖREBRO LÄN</t>
        </is>
      </c>
      <c r="E347" t="inlineStr">
        <is>
          <t>HALLSBERG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23011-2023</t>
        </is>
      </c>
      <c r="B348" s="1" t="n">
        <v>45073</v>
      </c>
      <c r="C348" s="1" t="n">
        <v>45568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23012-2023</t>
        </is>
      </c>
      <c r="B349" s="1" t="n">
        <v>45073</v>
      </c>
      <c r="C349" s="1" t="n">
        <v>45568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23013-2023</t>
        </is>
      </c>
      <c r="B350" s="1" t="n">
        <v>45073</v>
      </c>
      <c r="C350" s="1" t="n">
        <v>45568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24416-2023</t>
        </is>
      </c>
      <c r="B351" s="1" t="n">
        <v>45082</v>
      </c>
      <c r="C351" s="1" t="n">
        <v>45568</v>
      </c>
      <c r="D351" t="inlineStr">
        <is>
          <t>ÖREBRO LÄN</t>
        </is>
      </c>
      <c r="E351" t="inlineStr">
        <is>
          <t>HALLSBERG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24627-2023</t>
        </is>
      </c>
      <c r="B352" s="1" t="n">
        <v>45084</v>
      </c>
      <c r="C352" s="1" t="n">
        <v>45568</v>
      </c>
      <c r="D352" t="inlineStr">
        <is>
          <t>ÖREBRO LÄN</t>
        </is>
      </c>
      <c r="E352" t="inlineStr">
        <is>
          <t>HALLSBERG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24624-2023</t>
        </is>
      </c>
      <c r="B353" s="1" t="n">
        <v>45084</v>
      </c>
      <c r="C353" s="1" t="n">
        <v>45568</v>
      </c>
      <c r="D353" t="inlineStr">
        <is>
          <t>ÖREBRO LÄN</t>
        </is>
      </c>
      <c r="E353" t="inlineStr">
        <is>
          <t>HALLSBERG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24628-2023</t>
        </is>
      </c>
      <c r="B354" s="1" t="n">
        <v>45084</v>
      </c>
      <c r="C354" s="1" t="n">
        <v>45568</v>
      </c>
      <c r="D354" t="inlineStr">
        <is>
          <t>ÖREBRO LÄN</t>
        </is>
      </c>
      <c r="E354" t="inlineStr">
        <is>
          <t>HALLSBERG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24629-2023</t>
        </is>
      </c>
      <c r="B355" s="1" t="n">
        <v>45084</v>
      </c>
      <c r="C355" s="1" t="n">
        <v>45568</v>
      </c>
      <c r="D355" t="inlineStr">
        <is>
          <t>ÖREBRO LÄN</t>
        </is>
      </c>
      <c r="E355" t="inlineStr">
        <is>
          <t>HALLSBERG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24801-2023</t>
        </is>
      </c>
      <c r="B356" s="1" t="n">
        <v>45084</v>
      </c>
      <c r="C356" s="1" t="n">
        <v>45568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27110-2023</t>
        </is>
      </c>
      <c r="B357" s="1" t="n">
        <v>45096</v>
      </c>
      <c r="C357" s="1" t="n">
        <v>45568</v>
      </c>
      <c r="D357" t="inlineStr">
        <is>
          <t>ÖREBRO LÄN</t>
        </is>
      </c>
      <c r="E357" t="inlineStr">
        <is>
          <t>HALLSBERG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27765-2023</t>
        </is>
      </c>
      <c r="B358" s="1" t="n">
        <v>45098</v>
      </c>
      <c r="C358" s="1" t="n">
        <v>45568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29735-2023</t>
        </is>
      </c>
      <c r="B359" s="1" t="n">
        <v>45098</v>
      </c>
      <c r="C359" s="1" t="n">
        <v>45568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28526-2023</t>
        </is>
      </c>
      <c r="B360" s="1" t="n">
        <v>45103</v>
      </c>
      <c r="C360" s="1" t="n">
        <v>45568</v>
      </c>
      <c r="D360" t="inlineStr">
        <is>
          <t>ÖREBRO LÄN</t>
        </is>
      </c>
      <c r="E360" t="inlineStr">
        <is>
          <t>HALLSBERG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29304-2023</t>
        </is>
      </c>
      <c r="B361" s="1" t="n">
        <v>45105</v>
      </c>
      <c r="C361" s="1" t="n">
        <v>45568</v>
      </c>
      <c r="D361" t="inlineStr">
        <is>
          <t>ÖREBRO LÄN</t>
        </is>
      </c>
      <c r="E361" t="inlineStr">
        <is>
          <t>HALLSBERG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30889-2023</t>
        </is>
      </c>
      <c r="B362" s="1" t="n">
        <v>45113</v>
      </c>
      <c r="C362" s="1" t="n">
        <v>45568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31290-2023</t>
        </is>
      </c>
      <c r="B363" s="1" t="n">
        <v>45114</v>
      </c>
      <c r="C363" s="1" t="n">
        <v>45568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32456-2023</t>
        </is>
      </c>
      <c r="B364" s="1" t="n">
        <v>45120</v>
      </c>
      <c r="C364" s="1" t="n">
        <v>45568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33093-2023</t>
        </is>
      </c>
      <c r="B365" s="1" t="n">
        <v>45126</v>
      </c>
      <c r="C365" s="1" t="n">
        <v>45568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33097-2023</t>
        </is>
      </c>
      <c r="B366" s="1" t="n">
        <v>45126</v>
      </c>
      <c r="C366" s="1" t="n">
        <v>45568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34608-2023</t>
        </is>
      </c>
      <c r="B367" s="1" t="n">
        <v>45140</v>
      </c>
      <c r="C367" s="1" t="n">
        <v>45568</v>
      </c>
      <c r="D367" t="inlineStr">
        <is>
          <t>ÖREBRO LÄN</t>
        </is>
      </c>
      <c r="E367" t="inlineStr">
        <is>
          <t>HALLSBERG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35722-2023</t>
        </is>
      </c>
      <c r="B368" s="1" t="n">
        <v>45147</v>
      </c>
      <c r="C368" s="1" t="n">
        <v>45568</v>
      </c>
      <c r="D368" t="inlineStr">
        <is>
          <t>ÖREBRO LÄN</t>
        </is>
      </c>
      <c r="E368" t="inlineStr">
        <is>
          <t>HALLSBERG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36081-2023</t>
        </is>
      </c>
      <c r="B369" s="1" t="n">
        <v>45149</v>
      </c>
      <c r="C369" s="1" t="n">
        <v>45568</v>
      </c>
      <c r="D369" t="inlineStr">
        <is>
          <t>ÖREBRO LÄN</t>
        </is>
      </c>
      <c r="E369" t="inlineStr">
        <is>
          <t>HALLSBERG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37451-2023</t>
        </is>
      </c>
      <c r="B370" s="1" t="n">
        <v>45156</v>
      </c>
      <c r="C370" s="1" t="n">
        <v>45568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37695-2023</t>
        </is>
      </c>
      <c r="B371" s="1" t="n">
        <v>45159</v>
      </c>
      <c r="C371" s="1" t="n">
        <v>45568</v>
      </c>
      <c r="D371" t="inlineStr">
        <is>
          <t>ÖREBRO LÄN</t>
        </is>
      </c>
      <c r="E371" t="inlineStr">
        <is>
          <t>HALLSBERG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37709-2023</t>
        </is>
      </c>
      <c r="B372" s="1" t="n">
        <v>45159</v>
      </c>
      <c r="C372" s="1" t="n">
        <v>45568</v>
      </c>
      <c r="D372" t="inlineStr">
        <is>
          <t>ÖREBRO LÄN</t>
        </is>
      </c>
      <c r="E372" t="inlineStr">
        <is>
          <t>HALLSBERG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37714-2023</t>
        </is>
      </c>
      <c r="B373" s="1" t="n">
        <v>45159</v>
      </c>
      <c r="C373" s="1" t="n">
        <v>45568</v>
      </c>
      <c r="D373" t="inlineStr">
        <is>
          <t>ÖREBRO LÄN</t>
        </is>
      </c>
      <c r="E373" t="inlineStr">
        <is>
          <t>HALLSBERG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37723-2023</t>
        </is>
      </c>
      <c r="B374" s="1" t="n">
        <v>45159</v>
      </c>
      <c r="C374" s="1" t="n">
        <v>45568</v>
      </c>
      <c r="D374" t="inlineStr">
        <is>
          <t>ÖREBRO LÄN</t>
        </is>
      </c>
      <c r="E374" t="inlineStr">
        <is>
          <t>HALLSBERG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37702-2023</t>
        </is>
      </c>
      <c r="B375" s="1" t="n">
        <v>45159</v>
      </c>
      <c r="C375" s="1" t="n">
        <v>45568</v>
      </c>
      <c r="D375" t="inlineStr">
        <is>
          <t>ÖREBRO LÄN</t>
        </is>
      </c>
      <c r="E375" t="inlineStr">
        <is>
          <t>HALLSBERG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37685-2023</t>
        </is>
      </c>
      <c r="B376" s="1" t="n">
        <v>45159</v>
      </c>
      <c r="C376" s="1" t="n">
        <v>45568</v>
      </c>
      <c r="D376" t="inlineStr">
        <is>
          <t>ÖREBRO LÄN</t>
        </is>
      </c>
      <c r="E376" t="inlineStr">
        <is>
          <t>HALLSBERG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37721-2023</t>
        </is>
      </c>
      <c r="B377" s="1" t="n">
        <v>45159</v>
      </c>
      <c r="C377" s="1" t="n">
        <v>45568</v>
      </c>
      <c r="D377" t="inlineStr">
        <is>
          <t>ÖREBRO LÄN</t>
        </is>
      </c>
      <c r="E377" t="inlineStr">
        <is>
          <t>HALLSBERG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37679-2023</t>
        </is>
      </c>
      <c r="B378" s="1" t="n">
        <v>45159</v>
      </c>
      <c r="C378" s="1" t="n">
        <v>45568</v>
      </c>
      <c r="D378" t="inlineStr">
        <is>
          <t>ÖREBRO LÄN</t>
        </is>
      </c>
      <c r="E378" t="inlineStr">
        <is>
          <t>HALLSBERG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37698-2023</t>
        </is>
      </c>
      <c r="B379" s="1" t="n">
        <v>45159</v>
      </c>
      <c r="C379" s="1" t="n">
        <v>45568</v>
      </c>
      <c r="D379" t="inlineStr">
        <is>
          <t>ÖREBRO LÄN</t>
        </is>
      </c>
      <c r="E379" t="inlineStr">
        <is>
          <t>HALLSBERG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38010-2023</t>
        </is>
      </c>
      <c r="B380" s="1" t="n">
        <v>45160</v>
      </c>
      <c r="C380" s="1" t="n">
        <v>45568</v>
      </c>
      <c r="D380" t="inlineStr">
        <is>
          <t>ÖREBRO LÄN</t>
        </is>
      </c>
      <c r="E380" t="inlineStr">
        <is>
          <t>HALLSBERG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38116-2023</t>
        </is>
      </c>
      <c r="B381" s="1" t="n">
        <v>45161</v>
      </c>
      <c r="C381" s="1" t="n">
        <v>45568</v>
      </c>
      <c r="D381" t="inlineStr">
        <is>
          <t>ÖREBRO LÄN</t>
        </is>
      </c>
      <c r="E381" t="inlineStr">
        <is>
          <t>HALLSBERG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38120-2023</t>
        </is>
      </c>
      <c r="B382" s="1" t="n">
        <v>45161</v>
      </c>
      <c r="C382" s="1" t="n">
        <v>45568</v>
      </c>
      <c r="D382" t="inlineStr">
        <is>
          <t>ÖREBRO LÄN</t>
        </is>
      </c>
      <c r="E382" t="inlineStr">
        <is>
          <t>HALLSBERG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38122-2023</t>
        </is>
      </c>
      <c r="B383" s="1" t="n">
        <v>45161</v>
      </c>
      <c r="C383" s="1" t="n">
        <v>45568</v>
      </c>
      <c r="D383" t="inlineStr">
        <is>
          <t>ÖREBRO LÄN</t>
        </is>
      </c>
      <c r="E383" t="inlineStr">
        <is>
          <t>HALLSBERG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39288-2023</t>
        </is>
      </c>
      <c r="B384" s="1" t="n">
        <v>45166</v>
      </c>
      <c r="C384" s="1" t="n">
        <v>45568</v>
      </c>
      <c r="D384" t="inlineStr">
        <is>
          <t>ÖREBRO LÄN</t>
        </is>
      </c>
      <c r="E384" t="inlineStr">
        <is>
          <t>HALLSBERG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39658-2023</t>
        </is>
      </c>
      <c r="B385" s="1" t="n">
        <v>45167</v>
      </c>
      <c r="C385" s="1" t="n">
        <v>45568</v>
      </c>
      <c r="D385" t="inlineStr">
        <is>
          <t>ÖREBRO LÄN</t>
        </is>
      </c>
      <c r="E385" t="inlineStr">
        <is>
          <t>HALLSBERG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40551-2023</t>
        </is>
      </c>
      <c r="B386" s="1" t="n">
        <v>45170</v>
      </c>
      <c r="C386" s="1" t="n">
        <v>45568</v>
      </c>
      <c r="D386" t="inlineStr">
        <is>
          <t>ÖREBRO LÄN</t>
        </is>
      </c>
      <c r="E386" t="inlineStr">
        <is>
          <t>HALLSBERG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40887-2023</t>
        </is>
      </c>
      <c r="B387" s="1" t="n">
        <v>45173</v>
      </c>
      <c r="C387" s="1" t="n">
        <v>45568</v>
      </c>
      <c r="D387" t="inlineStr">
        <is>
          <t>ÖREBRO LÄN</t>
        </is>
      </c>
      <c r="E387" t="inlineStr">
        <is>
          <t>HALLSBERG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40968-2023</t>
        </is>
      </c>
      <c r="B388" s="1" t="n">
        <v>45173</v>
      </c>
      <c r="C388" s="1" t="n">
        <v>45568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41181-2023</t>
        </is>
      </c>
      <c r="B389" s="1" t="n">
        <v>45174</v>
      </c>
      <c r="C389" s="1" t="n">
        <v>45568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41345-2023</t>
        </is>
      </c>
      <c r="B390" s="1" t="n">
        <v>45174</v>
      </c>
      <c r="C390" s="1" t="n">
        <v>45568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41196-2023</t>
        </is>
      </c>
      <c r="B391" s="1" t="n">
        <v>45174</v>
      </c>
      <c r="C391" s="1" t="n">
        <v>45568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41515-2023</t>
        </is>
      </c>
      <c r="B392" s="1" t="n">
        <v>45175</v>
      </c>
      <c r="C392" s="1" t="n">
        <v>45568</v>
      </c>
      <c r="D392" t="inlineStr">
        <is>
          <t>ÖREBRO LÄN</t>
        </is>
      </c>
      <c r="E392" t="inlineStr">
        <is>
          <t>HALLSBERG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41886-2023</t>
        </is>
      </c>
      <c r="B393" s="1" t="n">
        <v>45176</v>
      </c>
      <c r="C393" s="1" t="n">
        <v>45568</v>
      </c>
      <c r="D393" t="inlineStr">
        <is>
          <t>ÖREBRO LÄN</t>
        </is>
      </c>
      <c r="E393" t="inlineStr">
        <is>
          <t>HALLSBERG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44031-2023</t>
        </is>
      </c>
      <c r="B394" s="1" t="n">
        <v>45188</v>
      </c>
      <c r="C394" s="1" t="n">
        <v>45568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44811-2023</t>
        </is>
      </c>
      <c r="B395" s="1" t="n">
        <v>45190</v>
      </c>
      <c r="C395" s="1" t="n">
        <v>45568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45862-2023</t>
        </is>
      </c>
      <c r="B396" s="1" t="n">
        <v>45195</v>
      </c>
      <c r="C396" s="1" t="n">
        <v>45568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45852-2023</t>
        </is>
      </c>
      <c r="B397" s="1" t="n">
        <v>45195</v>
      </c>
      <c r="C397" s="1" t="n">
        <v>45568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46235-2023</t>
        </is>
      </c>
      <c r="B398" s="1" t="n">
        <v>45196</v>
      </c>
      <c r="C398" s="1" t="n">
        <v>45568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46792-2023</t>
        </is>
      </c>
      <c r="B399" s="1" t="n">
        <v>45198</v>
      </c>
      <c r="C399" s="1" t="n">
        <v>45568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48912-2023</t>
        </is>
      </c>
      <c r="B400" s="1" t="n">
        <v>45203</v>
      </c>
      <c r="C400" s="1" t="n">
        <v>45568</v>
      </c>
      <c r="D400" t="inlineStr">
        <is>
          <t>ÖREBRO LÄN</t>
        </is>
      </c>
      <c r="E400" t="inlineStr">
        <is>
          <t>HALLSBERG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51350-2023</t>
        </is>
      </c>
      <c r="B401" s="1" t="n">
        <v>45213</v>
      </c>
      <c r="C401" s="1" t="n">
        <v>45568</v>
      </c>
      <c r="D401" t="inlineStr">
        <is>
          <t>ÖREBRO LÄN</t>
        </is>
      </c>
      <c r="E401" t="inlineStr">
        <is>
          <t>HALLSBERG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52708-2023</t>
        </is>
      </c>
      <c r="B402" s="1" t="n">
        <v>45225</v>
      </c>
      <c r="C402" s="1" t="n">
        <v>45568</v>
      </c>
      <c r="D402" t="inlineStr">
        <is>
          <t>ÖREBRO LÄN</t>
        </is>
      </c>
      <c r="E402" t="inlineStr">
        <is>
          <t>HALLSBERG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52710-2023</t>
        </is>
      </c>
      <c r="B403" s="1" t="n">
        <v>45225</v>
      </c>
      <c r="C403" s="1" t="n">
        <v>45568</v>
      </c>
      <c r="D403" t="inlineStr">
        <is>
          <t>ÖREBRO LÄN</t>
        </is>
      </c>
      <c r="E403" t="inlineStr">
        <is>
          <t>HALLSBERG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52707-2023</t>
        </is>
      </c>
      <c r="B404" s="1" t="n">
        <v>45225</v>
      </c>
      <c r="C404" s="1" t="n">
        <v>45568</v>
      </c>
      <c r="D404" t="inlineStr">
        <is>
          <t>ÖREBRO LÄN</t>
        </is>
      </c>
      <c r="E404" t="inlineStr">
        <is>
          <t>HALLSBERG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52709-2023</t>
        </is>
      </c>
      <c r="B405" s="1" t="n">
        <v>45225</v>
      </c>
      <c r="C405" s="1" t="n">
        <v>45568</v>
      </c>
      <c r="D405" t="inlineStr">
        <is>
          <t>ÖREBRO LÄN</t>
        </is>
      </c>
      <c r="E405" t="inlineStr">
        <is>
          <t>HALLSBERG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53009-2023</t>
        </is>
      </c>
      <c r="B406" s="1" t="n">
        <v>45226</v>
      </c>
      <c r="C406" s="1" t="n">
        <v>45568</v>
      </c>
      <c r="D406" t="inlineStr">
        <is>
          <t>ÖREBRO LÄN</t>
        </is>
      </c>
      <c r="E406" t="inlineStr">
        <is>
          <t>HALLSBERG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53012-2023</t>
        </is>
      </c>
      <c r="B407" s="1" t="n">
        <v>45226</v>
      </c>
      <c r="C407" s="1" t="n">
        <v>45568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53011-2023</t>
        </is>
      </c>
      <c r="B408" s="1" t="n">
        <v>45226</v>
      </c>
      <c r="C408" s="1" t="n">
        <v>45568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53329-2023</t>
        </is>
      </c>
      <c r="B409" s="1" t="n">
        <v>45229</v>
      </c>
      <c r="C409" s="1" t="n">
        <v>45568</v>
      </c>
      <c r="D409" t="inlineStr">
        <is>
          <t>ÖREBRO LÄN</t>
        </is>
      </c>
      <c r="E409" t="inlineStr">
        <is>
          <t>HALLSBERG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54679-2023</t>
        </is>
      </c>
      <c r="B410" s="1" t="n">
        <v>45235</v>
      </c>
      <c r="C410" s="1" t="n">
        <v>45568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55851-2023</t>
        </is>
      </c>
      <c r="B411" s="1" t="n">
        <v>45239</v>
      </c>
      <c r="C411" s="1" t="n">
        <v>45568</v>
      </c>
      <c r="D411" t="inlineStr">
        <is>
          <t>ÖREBRO LÄN</t>
        </is>
      </c>
      <c r="E411" t="inlineStr">
        <is>
          <t>HALLSBERG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55862-2023</t>
        </is>
      </c>
      <c r="B412" s="1" t="n">
        <v>45239</v>
      </c>
      <c r="C412" s="1" t="n">
        <v>45568</v>
      </c>
      <c r="D412" t="inlineStr">
        <is>
          <t>ÖREBRO LÄN</t>
        </is>
      </c>
      <c r="E412" t="inlineStr">
        <is>
          <t>HALLSBERG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56270-2023</t>
        </is>
      </c>
      <c r="B413" s="1" t="n">
        <v>45240</v>
      </c>
      <c r="C413" s="1" t="n">
        <v>45568</v>
      </c>
      <c r="D413" t="inlineStr">
        <is>
          <t>ÖREBRO LÄN</t>
        </is>
      </c>
      <c r="E413" t="inlineStr">
        <is>
          <t>HALLSBERG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56271-2023</t>
        </is>
      </c>
      <c r="B414" s="1" t="n">
        <v>45240</v>
      </c>
      <c r="C414" s="1" t="n">
        <v>45568</v>
      </c>
      <c r="D414" t="inlineStr">
        <is>
          <t>ÖREBRO LÄN</t>
        </is>
      </c>
      <c r="E414" t="inlineStr">
        <is>
          <t>HALLSBERG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56272-2023</t>
        </is>
      </c>
      <c r="B415" s="1" t="n">
        <v>45241</v>
      </c>
      <c r="C415" s="1" t="n">
        <v>45568</v>
      </c>
      <c r="D415" t="inlineStr">
        <is>
          <t>ÖREBRO LÄN</t>
        </is>
      </c>
      <c r="E415" t="inlineStr">
        <is>
          <t>HALLSBERG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59164-2023</t>
        </is>
      </c>
      <c r="B416" s="1" t="n">
        <v>45253</v>
      </c>
      <c r="C416" s="1" t="n">
        <v>45568</v>
      </c>
      <c r="D416" t="inlineStr">
        <is>
          <t>ÖREBRO LÄN</t>
        </is>
      </c>
      <c r="E416" t="inlineStr">
        <is>
          <t>HALLSBERG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59166-2023</t>
        </is>
      </c>
      <c r="B417" s="1" t="n">
        <v>45253</v>
      </c>
      <c r="C417" s="1" t="n">
        <v>45568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59167-2023</t>
        </is>
      </c>
      <c r="B418" s="1" t="n">
        <v>45253</v>
      </c>
      <c r="C418" s="1" t="n">
        <v>45568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59442-2023</t>
        </is>
      </c>
      <c r="B419" s="1" t="n">
        <v>45254</v>
      </c>
      <c r="C419" s="1" t="n">
        <v>45568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60082-2023</t>
        </is>
      </c>
      <c r="B420" s="1" t="n">
        <v>45258</v>
      </c>
      <c r="C420" s="1" t="n">
        <v>45568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60147-2023</t>
        </is>
      </c>
      <c r="B421" s="1" t="n">
        <v>45258</v>
      </c>
      <c r="C421" s="1" t="n">
        <v>45568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60092-2023</t>
        </is>
      </c>
      <c r="B422" s="1" t="n">
        <v>45258</v>
      </c>
      <c r="C422" s="1" t="n">
        <v>45568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60081-2023</t>
        </is>
      </c>
      <c r="B423" s="1" t="n">
        <v>45258</v>
      </c>
      <c r="C423" s="1" t="n">
        <v>45568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60089-2023</t>
        </is>
      </c>
      <c r="B424" s="1" t="n">
        <v>45258</v>
      </c>
      <c r="C424" s="1" t="n">
        <v>45568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60093-2023</t>
        </is>
      </c>
      <c r="B425" s="1" t="n">
        <v>45258</v>
      </c>
      <c r="C425" s="1" t="n">
        <v>45568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60154-2023</t>
        </is>
      </c>
      <c r="B426" s="1" t="n">
        <v>45258</v>
      </c>
      <c r="C426" s="1" t="n">
        <v>45568</v>
      </c>
      <c r="D426" t="inlineStr">
        <is>
          <t>ÖREBRO LÄN</t>
        </is>
      </c>
      <c r="E426" t="inlineStr">
        <is>
          <t>HALLSBERG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61058-2023</t>
        </is>
      </c>
      <c r="B427" s="1" t="n">
        <v>45261</v>
      </c>
      <c r="C427" s="1" t="n">
        <v>45568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61057-2023</t>
        </is>
      </c>
      <c r="B428" s="1" t="n">
        <v>45261</v>
      </c>
      <c r="C428" s="1" t="n">
        <v>45568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61646-2023</t>
        </is>
      </c>
      <c r="B429" s="1" t="n">
        <v>45263</v>
      </c>
      <c r="C429" s="1" t="n">
        <v>45568</v>
      </c>
      <c r="D429" t="inlineStr">
        <is>
          <t>ÖREBRO LÄN</t>
        </is>
      </c>
      <c r="E429" t="inlineStr">
        <is>
          <t>HALLSBERG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61628-2023</t>
        </is>
      </c>
      <c r="B430" s="1" t="n">
        <v>45265</v>
      </c>
      <c r="C430" s="1" t="n">
        <v>45568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62241-2023</t>
        </is>
      </c>
      <c r="B431" s="1" t="n">
        <v>45267</v>
      </c>
      <c r="C431" s="1" t="n">
        <v>45568</v>
      </c>
      <c r="D431" t="inlineStr">
        <is>
          <t>ÖREBRO LÄN</t>
        </is>
      </c>
      <c r="E431" t="inlineStr">
        <is>
          <t>HALLSBERG</t>
        </is>
      </c>
      <c r="G431" t="n">
        <v>16.6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63187-2023</t>
        </is>
      </c>
      <c r="B432" s="1" t="n">
        <v>45272</v>
      </c>
      <c r="C432" s="1" t="n">
        <v>45568</v>
      </c>
      <c r="D432" t="inlineStr">
        <is>
          <t>ÖREBRO LÄN</t>
        </is>
      </c>
      <c r="E432" t="inlineStr">
        <is>
          <t>HALLSBERG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63213-2023</t>
        </is>
      </c>
      <c r="B433" s="1" t="n">
        <v>45272</v>
      </c>
      <c r="C433" s="1" t="n">
        <v>45568</v>
      </c>
      <c r="D433" t="inlineStr">
        <is>
          <t>ÖREBRO LÄN</t>
        </is>
      </c>
      <c r="E433" t="inlineStr">
        <is>
          <t>HALLSBERG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63223-2023</t>
        </is>
      </c>
      <c r="B434" s="1" t="n">
        <v>45273</v>
      </c>
      <c r="C434" s="1" t="n">
        <v>45568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64160-2023</t>
        </is>
      </c>
      <c r="B435" s="1" t="n">
        <v>45279</v>
      </c>
      <c r="C435" s="1" t="n">
        <v>45568</v>
      </c>
      <c r="D435" t="inlineStr">
        <is>
          <t>ÖREBRO LÄN</t>
        </is>
      </c>
      <c r="E435" t="inlineStr">
        <is>
          <t>HALLSBERG</t>
        </is>
      </c>
      <c r="F435" t="inlineStr">
        <is>
          <t>Övriga Aktiebolag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64172-2023</t>
        </is>
      </c>
      <c r="B436" s="1" t="n">
        <v>45279</v>
      </c>
      <c r="C436" s="1" t="n">
        <v>45568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64200-2023</t>
        </is>
      </c>
      <c r="B437" s="1" t="n">
        <v>45279</v>
      </c>
      <c r="C437" s="1" t="n">
        <v>45568</v>
      </c>
      <c r="D437" t="inlineStr">
        <is>
          <t>ÖREBRO LÄN</t>
        </is>
      </c>
      <c r="E437" t="inlineStr">
        <is>
          <t>HALLSBERG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64397-2023</t>
        </is>
      </c>
      <c r="B438" s="1" t="n">
        <v>45280</v>
      </c>
      <c r="C438" s="1" t="n">
        <v>45568</v>
      </c>
      <c r="D438" t="inlineStr">
        <is>
          <t>ÖREBRO LÄN</t>
        </is>
      </c>
      <c r="E438" t="inlineStr">
        <is>
          <t>HALLSBERG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64419-2023</t>
        </is>
      </c>
      <c r="B439" s="1" t="n">
        <v>45280</v>
      </c>
      <c r="C439" s="1" t="n">
        <v>45568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64417-2023</t>
        </is>
      </c>
      <c r="B440" s="1" t="n">
        <v>45280</v>
      </c>
      <c r="C440" s="1" t="n">
        <v>45568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64696-2023</t>
        </is>
      </c>
      <c r="B441" s="1" t="n">
        <v>45281</v>
      </c>
      <c r="C441" s="1" t="n">
        <v>45568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65196-2023</t>
        </is>
      </c>
      <c r="B442" s="1" t="n">
        <v>45289</v>
      </c>
      <c r="C442" s="1" t="n">
        <v>45568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316-2024</t>
        </is>
      </c>
      <c r="B443" s="1" t="n">
        <v>45295</v>
      </c>
      <c r="C443" s="1" t="n">
        <v>45568</v>
      </c>
      <c r="D443" t="inlineStr">
        <is>
          <t>ÖREBRO LÄN</t>
        </is>
      </c>
      <c r="E443" t="inlineStr">
        <is>
          <t>HALLSBERG</t>
        </is>
      </c>
      <c r="F443" t="inlineStr">
        <is>
          <t>Allmännings- och besparingsskogar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1456-2024</t>
        </is>
      </c>
      <c r="B444" s="1" t="n">
        <v>45303</v>
      </c>
      <c r="C444" s="1" t="n">
        <v>45568</v>
      </c>
      <c r="D444" t="inlineStr">
        <is>
          <t>ÖREBRO LÄN</t>
        </is>
      </c>
      <c r="E444" t="inlineStr">
        <is>
          <t>HALLSBERG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1455-2024</t>
        </is>
      </c>
      <c r="B445" s="1" t="n">
        <v>45303</v>
      </c>
      <c r="C445" s="1" t="n">
        <v>45568</v>
      </c>
      <c r="D445" t="inlineStr">
        <is>
          <t>ÖREBRO LÄN</t>
        </is>
      </c>
      <c r="E445" t="inlineStr">
        <is>
          <t>HALLSBERG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2694-2024</t>
        </is>
      </c>
      <c r="B446" s="1" t="n">
        <v>45314</v>
      </c>
      <c r="C446" s="1" t="n">
        <v>45568</v>
      </c>
      <c r="D446" t="inlineStr">
        <is>
          <t>ÖREBRO LÄN</t>
        </is>
      </c>
      <c r="E446" t="inlineStr">
        <is>
          <t>HALLSBERG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3799-2024</t>
        </is>
      </c>
      <c r="B447" s="1" t="n">
        <v>45321</v>
      </c>
      <c r="C447" s="1" t="n">
        <v>45568</v>
      </c>
      <c r="D447" t="inlineStr">
        <is>
          <t>ÖREBRO LÄN</t>
        </is>
      </c>
      <c r="E447" t="inlineStr">
        <is>
          <t>HALLSBERG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4339-2024</t>
        </is>
      </c>
      <c r="B448" s="1" t="n">
        <v>45324</v>
      </c>
      <c r="C448" s="1" t="n">
        <v>45568</v>
      </c>
      <c r="D448" t="inlineStr">
        <is>
          <t>ÖREBRO LÄN</t>
        </is>
      </c>
      <c r="E448" t="inlineStr">
        <is>
          <t>HALLSBERG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5417-2024</t>
        </is>
      </c>
      <c r="B449" s="1" t="n">
        <v>45331</v>
      </c>
      <c r="C449" s="1" t="n">
        <v>45568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5662-2024</t>
        </is>
      </c>
      <c r="B450" s="1" t="n">
        <v>45334</v>
      </c>
      <c r="C450" s="1" t="n">
        <v>45568</v>
      </c>
      <c r="D450" t="inlineStr">
        <is>
          <t>ÖREBRO LÄN</t>
        </is>
      </c>
      <c r="E450" t="inlineStr">
        <is>
          <t>HALLSBERG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5674-2024</t>
        </is>
      </c>
      <c r="B451" s="1" t="n">
        <v>45334</v>
      </c>
      <c r="C451" s="1" t="n">
        <v>45568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5668-2024</t>
        </is>
      </c>
      <c r="B452" s="1" t="n">
        <v>45334</v>
      </c>
      <c r="C452" s="1" t="n">
        <v>45568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5663-2024</t>
        </is>
      </c>
      <c r="B453" s="1" t="n">
        <v>45334</v>
      </c>
      <c r="C453" s="1" t="n">
        <v>45568</v>
      </c>
      <c r="D453" t="inlineStr">
        <is>
          <t>ÖREBRO LÄN</t>
        </is>
      </c>
      <c r="E453" t="inlineStr">
        <is>
          <t>HALLSBERG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5661-2024</t>
        </is>
      </c>
      <c r="B454" s="1" t="n">
        <v>45334</v>
      </c>
      <c r="C454" s="1" t="n">
        <v>45568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6255-2024</t>
        </is>
      </c>
      <c r="B455" s="1" t="n">
        <v>45337</v>
      </c>
      <c r="C455" s="1" t="n">
        <v>45568</v>
      </c>
      <c r="D455" t="inlineStr">
        <is>
          <t>ÖREBRO LÄN</t>
        </is>
      </c>
      <c r="E455" t="inlineStr">
        <is>
          <t>HALLSBERG</t>
        </is>
      </c>
      <c r="F455" t="inlineStr">
        <is>
          <t>Övriga Aktiebolag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6366-2024</t>
        </is>
      </c>
      <c r="B456" s="1" t="n">
        <v>45338</v>
      </c>
      <c r="C456" s="1" t="n">
        <v>45568</v>
      </c>
      <c r="D456" t="inlineStr">
        <is>
          <t>ÖREBRO LÄN</t>
        </is>
      </c>
      <c r="E456" t="inlineStr">
        <is>
          <t>HALLSBERG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6763-2024</t>
        </is>
      </c>
      <c r="B457" s="1" t="n">
        <v>45342</v>
      </c>
      <c r="C457" s="1" t="n">
        <v>45568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7492-2024</t>
        </is>
      </c>
      <c r="B458" s="1" t="n">
        <v>45346</v>
      </c>
      <c r="C458" s="1" t="n">
        <v>45568</v>
      </c>
      <c r="D458" t="inlineStr">
        <is>
          <t>ÖREBRO LÄN</t>
        </is>
      </c>
      <c r="E458" t="inlineStr">
        <is>
          <t>HALLSBERG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7788-2024</t>
        </is>
      </c>
      <c r="B459" s="1" t="n">
        <v>45349</v>
      </c>
      <c r="C459" s="1" t="n">
        <v>45568</v>
      </c>
      <c r="D459" t="inlineStr">
        <is>
          <t>ÖREBRO LÄN</t>
        </is>
      </c>
      <c r="E459" t="inlineStr">
        <is>
          <t>HALLSBERG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7802-2024</t>
        </is>
      </c>
      <c r="B460" s="1" t="n">
        <v>45349</v>
      </c>
      <c r="C460" s="1" t="n">
        <v>45568</v>
      </c>
      <c r="D460" t="inlineStr">
        <is>
          <t>ÖREBRO LÄN</t>
        </is>
      </c>
      <c r="E460" t="inlineStr">
        <is>
          <t>HALLSBERG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7784-2024</t>
        </is>
      </c>
      <c r="B461" s="1" t="n">
        <v>45349</v>
      </c>
      <c r="C461" s="1" t="n">
        <v>45568</v>
      </c>
      <c r="D461" t="inlineStr">
        <is>
          <t>ÖREBRO LÄN</t>
        </is>
      </c>
      <c r="E461" t="inlineStr">
        <is>
          <t>HALLSBERG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8347-2024</t>
        </is>
      </c>
      <c r="B462" s="1" t="n">
        <v>45352</v>
      </c>
      <c r="C462" s="1" t="n">
        <v>45568</v>
      </c>
      <c r="D462" t="inlineStr">
        <is>
          <t>ÖREBRO LÄN</t>
        </is>
      </c>
      <c r="E462" t="inlineStr">
        <is>
          <t>HALLSBERG</t>
        </is>
      </c>
      <c r="F462" t="inlineStr">
        <is>
          <t>Sveaskog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8346-2024</t>
        </is>
      </c>
      <c r="B463" s="1" t="n">
        <v>45352</v>
      </c>
      <c r="C463" s="1" t="n">
        <v>45568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9692-2024</t>
        </is>
      </c>
      <c r="B464" s="1" t="n">
        <v>45362</v>
      </c>
      <c r="C464" s="1" t="n">
        <v>45568</v>
      </c>
      <c r="D464" t="inlineStr">
        <is>
          <t>ÖREBRO LÄN</t>
        </is>
      </c>
      <c r="E464" t="inlineStr">
        <is>
          <t>HALLSBERG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9645-2024</t>
        </is>
      </c>
      <c r="B465" s="1" t="n">
        <v>45362</v>
      </c>
      <c r="C465" s="1" t="n">
        <v>45568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10436-2024</t>
        </is>
      </c>
      <c r="B466" s="1" t="n">
        <v>45366</v>
      </c>
      <c r="C466" s="1" t="n">
        <v>45568</v>
      </c>
      <c r="D466" t="inlineStr">
        <is>
          <t>ÖREBRO LÄN</t>
        </is>
      </c>
      <c r="E466" t="inlineStr">
        <is>
          <t>HALLSBERG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10435-2024</t>
        </is>
      </c>
      <c r="B467" s="1" t="n">
        <v>45366</v>
      </c>
      <c r="C467" s="1" t="n">
        <v>45568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10437-2024</t>
        </is>
      </c>
      <c r="B468" s="1" t="n">
        <v>45366</v>
      </c>
      <c r="C468" s="1" t="n">
        <v>45568</v>
      </c>
      <c r="D468" t="inlineStr">
        <is>
          <t>ÖREBRO LÄN</t>
        </is>
      </c>
      <c r="E468" t="inlineStr">
        <is>
          <t>HALLSBERG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11060-2024</t>
        </is>
      </c>
      <c r="B469" s="1" t="n">
        <v>45370</v>
      </c>
      <c r="C469" s="1" t="n">
        <v>45568</v>
      </c>
      <c r="D469" t="inlineStr">
        <is>
          <t>ÖREBRO LÄN</t>
        </is>
      </c>
      <c r="E469" t="inlineStr">
        <is>
          <t>HALLSBERG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11161-2024</t>
        </is>
      </c>
      <c r="B470" s="1" t="n">
        <v>45371</v>
      </c>
      <c r="C470" s="1" t="n">
        <v>45568</v>
      </c>
      <c r="D470" t="inlineStr">
        <is>
          <t>ÖREBRO LÄN</t>
        </is>
      </c>
      <c r="E470" t="inlineStr">
        <is>
          <t>HALLSBERG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11168-2024</t>
        </is>
      </c>
      <c r="B471" s="1" t="n">
        <v>45371</v>
      </c>
      <c r="C471" s="1" t="n">
        <v>45568</v>
      </c>
      <c r="D471" t="inlineStr">
        <is>
          <t>ÖREBRO LÄN</t>
        </is>
      </c>
      <c r="E471" t="inlineStr">
        <is>
          <t>HALLSBERG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11180-2024</t>
        </is>
      </c>
      <c r="B472" s="1" t="n">
        <v>45371</v>
      </c>
      <c r="C472" s="1" t="n">
        <v>45568</v>
      </c>
      <c r="D472" t="inlineStr">
        <is>
          <t>ÖREBRO LÄN</t>
        </is>
      </c>
      <c r="E472" t="inlineStr">
        <is>
          <t>HALLSBERG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11507-2024</t>
        </is>
      </c>
      <c r="B473" s="1" t="n">
        <v>45372</v>
      </c>
      <c r="C473" s="1" t="n">
        <v>45568</v>
      </c>
      <c r="D473" t="inlineStr">
        <is>
          <t>ÖREBRO LÄN</t>
        </is>
      </c>
      <c r="E473" t="inlineStr">
        <is>
          <t>HALLSBERG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12144-2024</t>
        </is>
      </c>
      <c r="B474" s="1" t="n">
        <v>45377</v>
      </c>
      <c r="C474" s="1" t="n">
        <v>45568</v>
      </c>
      <c r="D474" t="inlineStr">
        <is>
          <t>ÖREBRO LÄN</t>
        </is>
      </c>
      <c r="E474" t="inlineStr">
        <is>
          <t>HALLSBERG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12141-2024</t>
        </is>
      </c>
      <c r="B475" s="1" t="n">
        <v>45377</v>
      </c>
      <c r="C475" s="1" t="n">
        <v>45568</v>
      </c>
      <c r="D475" t="inlineStr">
        <is>
          <t>ÖREBRO LÄN</t>
        </is>
      </c>
      <c r="E475" t="inlineStr">
        <is>
          <t>HALLSBERG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13468-2024</t>
        </is>
      </c>
      <c r="B476" s="1" t="n">
        <v>45387</v>
      </c>
      <c r="C476" s="1" t="n">
        <v>45568</v>
      </c>
      <c r="D476" t="inlineStr">
        <is>
          <t>ÖREBRO LÄN</t>
        </is>
      </c>
      <c r="E476" t="inlineStr">
        <is>
          <t>HALLSBERG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13474-2024</t>
        </is>
      </c>
      <c r="B477" s="1" t="n">
        <v>45387</v>
      </c>
      <c r="C477" s="1" t="n">
        <v>45568</v>
      </c>
      <c r="D477" t="inlineStr">
        <is>
          <t>ÖREBRO LÄN</t>
        </is>
      </c>
      <c r="E477" t="inlineStr">
        <is>
          <t>HALLSBERG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14064-2024</t>
        </is>
      </c>
      <c r="B478" s="1" t="n">
        <v>45392</v>
      </c>
      <c r="C478" s="1" t="n">
        <v>45568</v>
      </c>
      <c r="D478" t="inlineStr">
        <is>
          <t>ÖREBRO LÄN</t>
        </is>
      </c>
      <c r="E478" t="inlineStr">
        <is>
          <t>HALLSBERG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45568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45568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45568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45568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45568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45568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45568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45568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45568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45568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45568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45568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45568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45568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45568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45568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45568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45568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45568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45568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45568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45568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45568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45568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45568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45568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45568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45568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45568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45568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45568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45568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45568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45568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45568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45568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45568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45568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45568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45568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45568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45568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45568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45568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45568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45568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45568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45568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45568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45568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41261-2024</t>
        </is>
      </c>
      <c r="B529" s="1" t="n">
        <v>45559</v>
      </c>
      <c r="C529" s="1" t="n">
        <v>45568</v>
      </c>
      <c r="D529" t="inlineStr">
        <is>
          <t>ÖREBRO LÄN</t>
        </is>
      </c>
      <c r="E529" t="inlineStr">
        <is>
          <t>HALLSBERG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45568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41278-2024</t>
        </is>
      </c>
      <c r="B531" s="1" t="n">
        <v>45559</v>
      </c>
      <c r="C531" s="1" t="n">
        <v>45568</v>
      </c>
      <c r="D531" t="inlineStr">
        <is>
          <t>ÖREBRO LÄN</t>
        </is>
      </c>
      <c r="E531" t="inlineStr">
        <is>
          <t>HALLSBERG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45568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45568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42443-2024</t>
        </is>
      </c>
      <c r="B534" s="1" t="n">
        <v>45565</v>
      </c>
      <c r="C534" s="1" t="n">
        <v>45568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2024-10-03T12:36:30Z</dcterms:created>
  <dcterms:modified xmlns:dcterms="http://purl.org/dc/terms/" xmlns:xsi="http://www.w3.org/2001/XMLSchema-instance" xsi:type="dcterms:W3CDTF">2024-10-03T12:36:31Z</dcterms:modified>
</cp:coreProperties>
</file>