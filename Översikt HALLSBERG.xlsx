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45842</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45842</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45842</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45842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45842</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45842</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45842</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10247-2025</t>
        </is>
      </c>
      <c r="B9" s="1" t="n">
        <v>45720</v>
      </c>
      <c r="C9" s="1" t="n">
        <v>45842</v>
      </c>
      <c r="D9" t="inlineStr">
        <is>
          <t>ÖREBRO LÄN</t>
        </is>
      </c>
      <c r="E9" t="inlineStr">
        <is>
          <t>HALLSBERG</t>
        </is>
      </c>
      <c r="G9" t="n">
        <v>1.5</v>
      </c>
      <c r="H9" t="n">
        <v>5</v>
      </c>
      <c r="I9" t="n">
        <v>0</v>
      </c>
      <c r="J9" t="n">
        <v>3</v>
      </c>
      <c r="K9" t="n">
        <v>0</v>
      </c>
      <c r="L9" t="n">
        <v>0</v>
      </c>
      <c r="M9" t="n">
        <v>0</v>
      </c>
      <c r="N9" t="n">
        <v>0</v>
      </c>
      <c r="O9" t="n">
        <v>3</v>
      </c>
      <c r="P9" t="n">
        <v>0</v>
      </c>
      <c r="Q9" t="n">
        <v>6</v>
      </c>
      <c r="R9" s="2" t="inlineStr">
        <is>
          <t>Gulsparv
Skogsklocka
Spillkråka
Skogsduva
Törnskata
Grönvit nattviol</t>
        </is>
      </c>
      <c r="S9">
        <f>HYPERLINK("https://klasma.github.io/Logging_181861/artfynd/A 10247-2025 artfynd.xlsx", "A 10247-2025")</f>
        <v/>
      </c>
      <c r="T9">
        <f>HYPERLINK("https://klasma.github.io/Logging_181861/kartor/A 10247-2025 karta.png", "A 10247-2025")</f>
        <v/>
      </c>
      <c r="V9">
        <f>HYPERLINK("https://klasma.github.io/Logging_181861/klagomål/A 10247-2025 FSC-klagomål.docx", "A 10247-2025")</f>
        <v/>
      </c>
      <c r="W9">
        <f>HYPERLINK("https://klasma.github.io/Logging_181861/klagomålsmail/A 10247-2025 FSC-klagomål mail.docx", "A 10247-2025")</f>
        <v/>
      </c>
      <c r="X9">
        <f>HYPERLINK("https://klasma.github.io/Logging_181861/tillsyn/A 10247-2025 tillsynsbegäran.docx", "A 10247-2025")</f>
        <v/>
      </c>
      <c r="Y9">
        <f>HYPERLINK("https://klasma.github.io/Logging_181861/tillsynsmail/A 10247-2025 tillsynsbegäran mail.docx", "A 10247-2025")</f>
        <v/>
      </c>
      <c r="Z9">
        <f>HYPERLINK("https://klasma.github.io/Logging_181861/fåglar/A 10247-2025 prioriterade fågelarter.docx", "A 10247-2025")</f>
        <v/>
      </c>
    </row>
    <row r="10" ht="15" customHeight="1">
      <c r="A10" t="inlineStr">
        <is>
          <t>A 25688-2021</t>
        </is>
      </c>
      <c r="B10" s="1" t="n">
        <v>44343</v>
      </c>
      <c r="C10" s="1" t="n">
        <v>45842</v>
      </c>
      <c r="D10" t="inlineStr">
        <is>
          <t>ÖREBRO LÄN</t>
        </is>
      </c>
      <c r="E10" t="inlineStr">
        <is>
          <t>HALLSBERG</t>
        </is>
      </c>
      <c r="F10" t="inlineStr">
        <is>
          <t>Sveaskog</t>
        </is>
      </c>
      <c r="G10" t="n">
        <v>9.6</v>
      </c>
      <c r="H10" t="n">
        <v>2</v>
      </c>
      <c r="I10" t="n">
        <v>1</v>
      </c>
      <c r="J10" t="n">
        <v>2</v>
      </c>
      <c r="K10" t="n">
        <v>0</v>
      </c>
      <c r="L10" t="n">
        <v>0</v>
      </c>
      <c r="M10" t="n">
        <v>0</v>
      </c>
      <c r="N10" t="n">
        <v>0</v>
      </c>
      <c r="O10" t="n">
        <v>2</v>
      </c>
      <c r="P10" t="n">
        <v>0</v>
      </c>
      <c r="Q10" t="n">
        <v>5</v>
      </c>
      <c r="R10" s="2" t="inlineStr">
        <is>
          <t>Dvärgbägarlav
Vedskivlav
Vedticka
Orre
Mattlummer</t>
        </is>
      </c>
      <c r="S10">
        <f>HYPERLINK("https://klasma.github.io/Logging_1861/artfynd/A 25688-2021 artfynd.xlsx", "A 25688-2021")</f>
        <v/>
      </c>
      <c r="T10">
        <f>HYPERLINK("https://klasma.github.io/Logging_1861/kartor/A 25688-2021 karta.png", "A 25688-2021")</f>
        <v/>
      </c>
      <c r="V10">
        <f>HYPERLINK("https://klasma.github.io/Logging_1861/klagomål/A 25688-2021 FSC-klagomål.docx", "A 25688-2021")</f>
        <v/>
      </c>
      <c r="W10">
        <f>HYPERLINK("https://klasma.github.io/Logging_1861/klagomålsmail/A 25688-2021 FSC-klagomål mail.docx", "A 25688-2021")</f>
        <v/>
      </c>
      <c r="X10">
        <f>HYPERLINK("https://klasma.github.io/Logging_1861/tillsyn/A 25688-2021 tillsynsbegäran.docx", "A 25688-2021")</f>
        <v/>
      </c>
      <c r="Y10">
        <f>HYPERLINK("https://klasma.github.io/Logging_1861/tillsynsmail/A 25688-2021 tillsynsbegäran mail.docx", "A 25688-2021")</f>
        <v/>
      </c>
      <c r="Z10">
        <f>HYPERLINK("https://klasma.github.io/Logging_1861/fåglar/A 25688-2021 prioriterade fågelarter.docx", "A 25688-2021")</f>
        <v/>
      </c>
    </row>
    <row r="11" ht="15" customHeight="1">
      <c r="A11" t="inlineStr">
        <is>
          <t>A 17046-2023</t>
        </is>
      </c>
      <c r="B11" s="1" t="n">
        <v>45034</v>
      </c>
      <c r="C11" s="1" t="n">
        <v>45842</v>
      </c>
      <c r="D11" t="inlineStr">
        <is>
          <t>ÖREBRO LÄN</t>
        </is>
      </c>
      <c r="E11" t="inlineStr">
        <is>
          <t>HALLSBERG</t>
        </is>
      </c>
      <c r="G11" t="n">
        <v>7.5</v>
      </c>
      <c r="H11" t="n">
        <v>1</v>
      </c>
      <c r="I11" t="n">
        <v>2</v>
      </c>
      <c r="J11" t="n">
        <v>3</v>
      </c>
      <c r="K11" t="n">
        <v>0</v>
      </c>
      <c r="L11" t="n">
        <v>0</v>
      </c>
      <c r="M11" t="n">
        <v>0</v>
      </c>
      <c r="N11" t="n">
        <v>0</v>
      </c>
      <c r="O11" t="n">
        <v>3</v>
      </c>
      <c r="P11" t="n">
        <v>0</v>
      </c>
      <c r="Q11" t="n">
        <v>5</v>
      </c>
      <c r="R11" s="2" t="inlineStr">
        <is>
          <t>Orange taggsvamp
Spillkråka
Ullticka
Blåmossa
Gullgröppa</t>
        </is>
      </c>
      <c r="S11">
        <f>HYPERLINK("https://klasma.github.io/Logging_1861/artfynd/A 17046-2023 artfynd.xlsx", "A 17046-2023")</f>
        <v/>
      </c>
      <c r="T11">
        <f>HYPERLINK("https://klasma.github.io/Logging_1861/kartor/A 17046-2023 karta.png", "A 17046-2023")</f>
        <v/>
      </c>
      <c r="V11">
        <f>HYPERLINK("https://klasma.github.io/Logging_1861/klagomål/A 17046-2023 FSC-klagomål.docx", "A 17046-2023")</f>
        <v/>
      </c>
      <c r="W11">
        <f>HYPERLINK("https://klasma.github.io/Logging_1861/klagomålsmail/A 17046-2023 FSC-klagomål mail.docx", "A 17046-2023")</f>
        <v/>
      </c>
      <c r="X11">
        <f>HYPERLINK("https://klasma.github.io/Logging_1861/tillsyn/A 17046-2023 tillsynsbegäran.docx", "A 17046-2023")</f>
        <v/>
      </c>
      <c r="Y11">
        <f>HYPERLINK("https://klasma.github.io/Logging_1861/tillsynsmail/A 17046-2023 tillsynsbegäran mail.docx", "A 17046-2023")</f>
        <v/>
      </c>
      <c r="Z11">
        <f>HYPERLINK("https://klasma.github.io/Logging_1861/fåglar/A 17046-2023 prioriterade fågelarter.docx", "A 17046-2023")</f>
        <v/>
      </c>
    </row>
    <row r="12" ht="15" customHeight="1">
      <c r="A12" t="inlineStr">
        <is>
          <t>A 63227-2023</t>
        </is>
      </c>
      <c r="B12" s="1" t="n">
        <v>45272</v>
      </c>
      <c r="C12" s="1" t="n">
        <v>45842</v>
      </c>
      <c r="D12" t="inlineStr">
        <is>
          <t>ÖREBRO LÄN</t>
        </is>
      </c>
      <c r="E12" t="inlineStr">
        <is>
          <t>HALLSBERG</t>
        </is>
      </c>
      <c r="G12" t="n">
        <v>4.4</v>
      </c>
      <c r="H12" t="n">
        <v>5</v>
      </c>
      <c r="I12" t="n">
        <v>0</v>
      </c>
      <c r="J12" t="n">
        <v>2</v>
      </c>
      <c r="K12" t="n">
        <v>0</v>
      </c>
      <c r="L12" t="n">
        <v>0</v>
      </c>
      <c r="M12" t="n">
        <v>0</v>
      </c>
      <c r="N12" t="n">
        <v>0</v>
      </c>
      <c r="O12" t="n">
        <v>2</v>
      </c>
      <c r="P12" t="n">
        <v>0</v>
      </c>
      <c r="Q12" t="n">
        <v>5</v>
      </c>
      <c r="R12" s="2" t="inlineStr">
        <is>
          <t>Brunlångöra
Nordfladdermus
Dvärgpipistrell
Större brunfladdermus
Revlummer</t>
        </is>
      </c>
      <c r="S12">
        <f>HYPERLINK("https://klasma.github.io/Logging_1861/artfynd/A 63227-2023 artfynd.xlsx", "A 63227-2023")</f>
        <v/>
      </c>
      <c r="T12">
        <f>HYPERLINK("https://klasma.github.io/Logging_1861/kartor/A 63227-2023 karta.png", "A 63227-2023")</f>
        <v/>
      </c>
      <c r="V12">
        <f>HYPERLINK("https://klasma.github.io/Logging_1861/klagomål/A 63227-2023 FSC-klagomål.docx", "A 63227-2023")</f>
        <v/>
      </c>
      <c r="W12">
        <f>HYPERLINK("https://klasma.github.io/Logging_1861/klagomålsmail/A 63227-2023 FSC-klagomål mail.docx", "A 63227-2023")</f>
        <v/>
      </c>
      <c r="X12">
        <f>HYPERLINK("https://klasma.github.io/Logging_1861/tillsyn/A 63227-2023 tillsynsbegäran.docx", "A 63227-2023")</f>
        <v/>
      </c>
      <c r="Y12">
        <f>HYPERLINK("https://klasma.github.io/Logging_1861/tillsynsmail/A 63227-2023 tillsynsbegäran mail.docx", "A 63227-2023")</f>
        <v/>
      </c>
    </row>
    <row r="13" ht="15" customHeight="1">
      <c r="A13" t="inlineStr">
        <is>
          <t>A 12560-2025</t>
        </is>
      </c>
      <c r="B13" s="1" t="n">
        <v>45731</v>
      </c>
      <c r="C13" s="1" t="n">
        <v>45842</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45842</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45842</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45842</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45842</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45842</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45842</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45842</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45842</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45842</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45842</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45842</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45842</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45842</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45842</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45842</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45842</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45842</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45842</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45842</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45842</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45842</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45842</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45842</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45842</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45842</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45842</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45842</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45842</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45842</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45842</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45842</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45842</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45842</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45842</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45842</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45842</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45842</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45842</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45842</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45842</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45842</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45842</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45842</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45842</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45842</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45842</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45842</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45842</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45842</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45842</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45842</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45842</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45842</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45842</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45842</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45842</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45842</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45842</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45842</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45842</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45842</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45842</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45842</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45842</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45842</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45842</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45842</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45842</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45842</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45842</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45842</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45842</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45842</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45842</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45842</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45842</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45842</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45842</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45842</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45842</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45842</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45842</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45842</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45842</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45842</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45842</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45842</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45842</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45842</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45842</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45842</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45842</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45842</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45842</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45842</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45842</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45842</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45842</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45842</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45842</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45842</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45842</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45842</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45842</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45842</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45842</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45842</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45842</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45842</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45842</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45842</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45842</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45842</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45842</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45842</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45842</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45842</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45842</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45842</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45842</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45842</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45842</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45842</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45842</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45842</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45842</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45842</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45842</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45842</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45842</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45842</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45842</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45842</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45842</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45842</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45842</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45842</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45842</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45842</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45842</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45842</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45842</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45842</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45842</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45842</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45842</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45842</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45842</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45842</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45842</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45842</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45842</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45842</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45842</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45842</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45842</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45842</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45842</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45842</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45842</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45842</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45842</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45842</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45842</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45842</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45842</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45842</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45842</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45842</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45842</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45842</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45842</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45842</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45842</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45842</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45842</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45842</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45842</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45842</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45842</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45842</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45842</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45842</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45842</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45842</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45842</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45842</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45842</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45842</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45842</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45842</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45842</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45842</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45842</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45842</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45842</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45842</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45842</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45842</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45842</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45842</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45842</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45842</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45842</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45842</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45842</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45842</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45842</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45842</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45842</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45842</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45842</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45842</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45842</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45842</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45842</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45842</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45842</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45842</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45842</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45842</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45842</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45842</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45842</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45842</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45842</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45842</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45842</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45842</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45842</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45842</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45842</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45842</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45842</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45842</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45842</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45842</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45842</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45842</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45842</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45842</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45842</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45842</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45842</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45842</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45842</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45842</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45842</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45842</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45842</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45842</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45842</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45842</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45842</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45842</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45842</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45842</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45842</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45842</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45842</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45842</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45842</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45842</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45842</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45842</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45842</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45842</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45842</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45842</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45842</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45842</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45842</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45842</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45842</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45842</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45842</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45842</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45842</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45842</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45842</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45842</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45842</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45842</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45842</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45842</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45842</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45842</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45842</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45842</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45842</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45842</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45842</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45842</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45842</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45842</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45842</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45842</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45842</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45842</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45842</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45842</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45842</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45842</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45842</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45842</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45842</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45842</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45842</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45842</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45842</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45842</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45842</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45842</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45842</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45842</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45842</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45842</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45842</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45842</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45842</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45842</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45842</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45842</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45842</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45842</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45842</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45842</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45842</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45842</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45842</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45842</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45842</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45842</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45842</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45842</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45842</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45842</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45842</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45842</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45842</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45842</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45842</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45842</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45842</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45842</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45842</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45842</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45842</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45842</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45842</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45842</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45842</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45842</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45842</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45842</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45842</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45842</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45842</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45842</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45842</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45842</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45842</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45842</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45842</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45842</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45842</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45842</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45842</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45842</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45842</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45842</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45842</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45842</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45842</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45842</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45842</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45842</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45842</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45842</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45842</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45842</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45842</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45842</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45842</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45842</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45842</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45842</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45842</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45842</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45842</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45842</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45842</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45842</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45842</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45842</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45842</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45842</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45842</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45842</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45842</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45842</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45842</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45842</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45842</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45842</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45842</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45842</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45842</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45842</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45842</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45842</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45842</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45842</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45842</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45842</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45842</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45842</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45842</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45842</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45842</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45842</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45842</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45842</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45842</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45842</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45842</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45842</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45842</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45842</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45842</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45842</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45842</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45842</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45842</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45842</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45842</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45842</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45842</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45842</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45842</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45842</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45842</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45842</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45842</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45842</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45842</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45842</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45842</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45842</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45842</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45842</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45842</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45842</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45842</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45842</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45842</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45842</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45842</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45842</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45842</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45842</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45842</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45842</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45842</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45842</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45842</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45842</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45842</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45842</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45842</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45842</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45842</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45842</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45842</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45842</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45842</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45842</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45842</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45842</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45842</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45842</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45842</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45842</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45842</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45842</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45842</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45842</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45842</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45842</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45842</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45842</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45842</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45842</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45842</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45842</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45842</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45842</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45842</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45842</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45842</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45842</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45842</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45842</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45842</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45842</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45842</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45842</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45842</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45842</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45842</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45842</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45842</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45842</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45842</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45842</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45842</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45842</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45842</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45842</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45842</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45842</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45842</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45842</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45842</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45842</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45842</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45842</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45842</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45842</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45842</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45842</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45842</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45842</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45842</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45842</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45842</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45842</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45842</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45842</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45842</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45842</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45842</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45842</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45842</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45842</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45842</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45842</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45842</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45842</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45842</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45842</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45842</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45842</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45842</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45842</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45842</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45842</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45842</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45842</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45842</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45842</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45842</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45842</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45842</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45842</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45842</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45842</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45842</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45842</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45842</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45842</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45842</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45842</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45842</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45842</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45842</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45842</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45842</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45842</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45842</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45842</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45842</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45842</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45842</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45842</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45842</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45842</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45842</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45842</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45842</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45842</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45842</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45842</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45842</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45842</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45842</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45842</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45842</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45842</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45842</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45842</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45842</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45842</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45842</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45842</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45842</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45842</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45842</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45842</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45842</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45842</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45842</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45842</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45842</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45842</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45842</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45842</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45842</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45842</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45842</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45842</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45842</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45842</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45842</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45842</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45842</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45842</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45842</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45842</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45842</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45842</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45842</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45842</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45842</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29161-2025</t>
        </is>
      </c>
      <c r="B648" s="1" t="n">
        <v>45821</v>
      </c>
      <c r="C648" s="1" t="n">
        <v>45842</v>
      </c>
      <c r="D648" t="inlineStr">
        <is>
          <t>ÖREBRO LÄN</t>
        </is>
      </c>
      <c r="E648" t="inlineStr">
        <is>
          <t>HALLSBERG</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29157-2025</t>
        </is>
      </c>
      <c r="B649" s="1" t="n">
        <v>45821</v>
      </c>
      <c r="C649" s="1" t="n">
        <v>45842</v>
      </c>
      <c r="D649" t="inlineStr">
        <is>
          <t>ÖREBRO LÄN</t>
        </is>
      </c>
      <c r="E649" t="inlineStr">
        <is>
          <t>HALLSBERG</t>
        </is>
      </c>
      <c r="F649" t="inlineStr">
        <is>
          <t>Sveaskog</t>
        </is>
      </c>
      <c r="G649" t="n">
        <v>10.3</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45842</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29165-2025</t>
        </is>
      </c>
      <c r="B651" s="1" t="n">
        <v>45821</v>
      </c>
      <c r="C651" s="1" t="n">
        <v>45842</v>
      </c>
      <c r="D651" t="inlineStr">
        <is>
          <t>ÖREBRO LÄN</t>
        </is>
      </c>
      <c r="E651" t="inlineStr">
        <is>
          <t>HALLSBERG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32606-2025</t>
        </is>
      </c>
      <c r="B652" s="1" t="n">
        <v>45838</v>
      </c>
      <c r="C652" s="1" t="n">
        <v>45842</v>
      </c>
      <c r="D652" t="inlineStr">
        <is>
          <t>ÖREBRO LÄN</t>
        </is>
      </c>
      <c r="E652" t="inlineStr">
        <is>
          <t>HALLSBERG</t>
        </is>
      </c>
      <c r="G652" t="n">
        <v>2.2</v>
      </c>
      <c r="H652" t="n">
        <v>0</v>
      </c>
      <c r="I652" t="n">
        <v>0</v>
      </c>
      <c r="J652" t="n">
        <v>0</v>
      </c>
      <c r="K652" t="n">
        <v>0</v>
      </c>
      <c r="L652" t="n">
        <v>0</v>
      </c>
      <c r="M652" t="n">
        <v>0</v>
      </c>
      <c r="N652" t="n">
        <v>0</v>
      </c>
      <c r="O652" t="n">
        <v>0</v>
      </c>
      <c r="P652" t="n">
        <v>0</v>
      </c>
      <c r="Q652" t="n">
        <v>0</v>
      </c>
      <c r="R652" s="2" t="inlineStr"/>
    </row>
    <row r="653">
      <c r="A653" t="inlineStr">
        <is>
          <t>A 32642-2025</t>
        </is>
      </c>
      <c r="B653" s="1" t="n">
        <v>45838</v>
      </c>
      <c r="C653" s="1" t="n">
        <v>45842</v>
      </c>
      <c r="D653" t="inlineStr">
        <is>
          <t>ÖREBRO LÄN</t>
        </is>
      </c>
      <c r="E653" t="inlineStr">
        <is>
          <t>HALLSBERG</t>
        </is>
      </c>
      <c r="G653" t="n">
        <v>9.199999999999999</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2025-07-04T19:06:26Z</dcterms:created>
  <dcterms:modified xmlns:dcterms="http://purl.org/dc/terms/" xmlns:xsi="http://www.w3.org/2001/XMLSchema-instance" xsi:type="dcterms:W3CDTF">2025-07-04T19:06:27Z</dcterms:modified>
</cp:coreProperties>
</file>