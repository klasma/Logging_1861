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45734</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45734</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45734</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45734</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45734</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45734</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45734</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45734</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45734</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45734</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HYPERLINK("https://klasma.github.io/Logging_1861/artfynd/A 12560-2025 artfynd.xlsx", "A 12560-2025")</f>
        <v/>
      </c>
      <c r="T11">
        <f>HYPERLINK("https://klasma.github.io/Logging_1861/kartor/A 12560-2025 karta.png", "A 12560-2025")</f>
        <v/>
      </c>
      <c r="U11">
        <f>HYPERLINK("https://klasma.github.io/Logging_1861/knärot/A 12560-2025 karta knärot.png", "A 12560-2025")</f>
        <v/>
      </c>
      <c r="V11">
        <f>HYPERLINK("https://klasma.github.io/Logging_1861/klagomål/A 12560-2025 FSC-klagomål.docx", "A 12560-2025")</f>
        <v/>
      </c>
      <c r="W11">
        <f>HYPERLINK("https://klasma.github.io/Logging_1861/klagomålsmail/A 12560-2025 FSC-klagomål mail.docx", "A 12560-2025")</f>
        <v/>
      </c>
      <c r="X11">
        <f>HYPERLINK("https://klasma.github.io/Logging_1861/tillsyn/A 12560-2025 tillsynsbegäran.docx", "A 12560-2025")</f>
        <v/>
      </c>
      <c r="Y11">
        <f>HYPERLINK("https://klasma.github.io/Logging_1861/tillsynsmail/A 12560-2025 tillsynsbegäran mail.docx", "A 12560-2025")</f>
        <v/>
      </c>
      <c r="Z11">
        <f>HYPERLINK("https://klasma.github.io/Logging_1861/fåglar/A 12560-2025 prioriterade fågelarter.docx", "A 12560-2025")</f>
        <v/>
      </c>
    </row>
    <row r="12" ht="15" customHeight="1">
      <c r="A12" t="inlineStr">
        <is>
          <t>A 35656-2019</t>
        </is>
      </c>
      <c r="B12" s="1" t="n">
        <v>43655</v>
      </c>
      <c r="C12" s="1" t="n">
        <v>45734</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45734</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45734</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45734</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45734</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45734</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45734</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45734</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45734</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45734</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45734</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45734</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45734</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45734</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45734</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45734</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45734</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45734</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45734</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45734</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45734</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45734</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45734</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45734</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45734</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45734</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45734</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45734</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45734</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45734</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45734</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45734</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45734</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45734</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45734</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45734</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45734</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45734</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45734</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45734</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45734</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45734</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45734</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45734</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45734</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45734</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45734</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45734</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45734</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45734</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45734</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45734</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45734</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45734</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45734</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45734</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45734</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45734</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45734</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45734</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45734</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HYPERLINK("https://klasma.github.io/Logging_1861/artfynd/A 10247-2025 artfynd.xlsx", "A 10247-2025")</f>
        <v/>
      </c>
      <c r="T72">
        <f>HYPERLINK("https://klasma.github.io/Logging_1861/kartor/A 10247-2025 karta.png", "A 10247-2025")</f>
        <v/>
      </c>
      <c r="V72">
        <f>HYPERLINK("https://klasma.github.io/Logging_1861/klagomål/A 10247-2025 FSC-klagomål.docx", "A 10247-2025")</f>
        <v/>
      </c>
      <c r="W72">
        <f>HYPERLINK("https://klasma.github.io/Logging_1861/klagomålsmail/A 10247-2025 FSC-klagomål mail.docx", "A 10247-2025")</f>
        <v/>
      </c>
      <c r="X72">
        <f>HYPERLINK("https://klasma.github.io/Logging_1861/tillsyn/A 10247-2025 tillsynsbegäran.docx", "A 10247-2025")</f>
        <v/>
      </c>
      <c r="Y72">
        <f>HYPERLINK("https://klasma.github.io/Logging_1861/tillsynsmail/A 10247-2025 tillsynsbegäran mail.docx", "A 10247-2025")</f>
        <v/>
      </c>
    </row>
    <row r="73" ht="15" customHeight="1">
      <c r="A73" t="inlineStr">
        <is>
          <t>A 11361-2025</t>
        </is>
      </c>
      <c r="B73" s="1" t="n">
        <v>45726</v>
      </c>
      <c r="C73" s="1" t="n">
        <v>45734</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HYPERLINK("https://klasma.github.io/Logging_1861/artfynd/A 11361-2025 artfynd.xlsx", "A 11361-2025")</f>
        <v/>
      </c>
      <c r="T73">
        <f>HYPERLINK("https://klasma.github.io/Logging_1861/kartor/A 11361-2025 karta.png", "A 11361-2025")</f>
        <v/>
      </c>
      <c r="V73">
        <f>HYPERLINK("https://klasma.github.io/Logging_1861/klagomål/A 11361-2025 FSC-klagomål.docx", "A 11361-2025")</f>
        <v/>
      </c>
      <c r="W73">
        <f>HYPERLINK("https://klasma.github.io/Logging_1861/klagomålsmail/A 11361-2025 FSC-klagomål mail.docx", "A 11361-2025")</f>
        <v/>
      </c>
      <c r="X73">
        <f>HYPERLINK("https://klasma.github.io/Logging_1861/tillsyn/A 11361-2025 tillsynsbegäran.docx", "A 11361-2025")</f>
        <v/>
      </c>
      <c r="Y73">
        <f>HYPERLINK("https://klasma.github.io/Logging_1861/tillsynsmail/A 11361-2025 tillsynsbegäran mail.docx", "A 11361-2025")</f>
        <v/>
      </c>
      <c r="Z73">
        <f>HYPERLINK("https://klasma.github.io/Logging_1861/fåglar/A 11361-2025 prioriterade fågelarter.docx", "A 11361-2025")</f>
        <v/>
      </c>
    </row>
    <row r="74" ht="15" customHeight="1">
      <c r="A74" t="inlineStr">
        <is>
          <t>A 17632-2019</t>
        </is>
      </c>
      <c r="B74" s="1" t="n">
        <v>43556</v>
      </c>
      <c r="C74" s="1" t="n">
        <v>45734</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45734</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45734</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45734</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45734</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45734</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45734</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45734</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45734</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45734</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45734</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45734</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45734</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45734</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45734</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45734</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45734</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45734</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45734</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45734</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45734</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45734</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45734</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45734</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45734</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45734</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45734</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45734</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45734</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45734</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45734</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45734</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45734</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45734</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45734</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45734</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45734</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45734</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45734</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45734</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45734</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45734</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45734</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45734</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45734</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45734</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45734</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45734</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45734</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45734</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45734</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45734</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45734</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45734</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45734</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45734</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45734</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45734</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45734</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45734</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45734</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45734</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45734</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45734</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45734</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45734</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45734</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45734</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45734</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45734</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45734</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45734</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45734</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45734</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45734</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45734</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45734</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45734</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45734</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45734</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45734</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45734</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45734</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45734</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45734</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45734</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45734</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45734</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45734</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45734</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45734</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45734</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45734</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45734</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45734</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45734</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45734</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45734</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45734</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45734</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45734</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45734</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45734</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45734</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45734</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45734</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45734</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45734</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45734</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45734</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45734</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45734</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45734</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45734</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45734</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45734</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45734</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45734</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45734</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45734</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45734</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45734</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45734</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45734</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45734</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45734</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45734</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45734</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45734</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45734</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45734</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45734</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45734</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45734</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45734</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45734</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45734</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45734</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45734</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45734</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45734</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45734</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45734</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45734</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45734</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45734</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45734</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45734</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45734</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45734</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45734</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45734</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45734</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45734</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45734</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45734</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45734</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45734</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45734</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45734</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45734</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45734</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45734</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45734</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45734</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45734</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45734</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45734</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45734</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45734</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45734</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45734</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45734</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45734</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45734</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45734</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45734</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45734</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45734</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45734</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45734</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45734</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45734</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45734</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45734</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45734</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45734</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45734</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45734</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45734</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45734</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45734</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45734</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45734</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45734</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45734</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45734</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45734</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45734</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45734</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45734</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45734</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45734</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45734</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45734</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45734</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45734</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45734</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45734</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45734</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45734</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45734</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45734</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45734</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45734</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45734</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45734</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45734</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45734</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45734</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45734</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45734</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45734</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45734</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45734</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45734</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45734</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45734</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45734</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45734</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45734</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45734</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45734</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45734</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45734</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45734</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45734</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45734</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45734</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45734</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45734</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45734</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45734</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45734</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45734</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45734</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45734</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45734</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45734</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45734</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45734</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45734</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45734</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45734</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45734</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45734</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45734</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45734</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45734</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45734</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45734</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45734</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45734</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45734</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45734</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45734</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45734</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45734</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45734</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45734</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45734</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45734</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45734</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45734</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45734</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45734</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45734</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45734</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45734</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45734</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45734</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45734</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45734</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45734</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45734</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45734</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45734</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45734</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45734</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45734</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45734</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45734</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45734</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45734</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45734</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45734</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45734</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45734</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45734</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45734</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45734</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45734</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45734</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45734</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45734</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45734</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45734</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45734</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45734</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45734</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45734</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45734</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45734</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45734</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45734</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45734</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45734</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45734</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45734</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45734</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45734</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45734</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45734</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45734</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45734</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45734</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45734</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45734</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45734</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45734</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45734</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45734</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45734</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45734</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45734</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45734</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45734</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45734</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45734</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45734</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45734</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45734</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45734</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45734</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45734</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45734</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45734</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45734</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45734</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45734</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45734</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45734</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45734</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45734</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45734</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45734</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45734</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45734</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45734</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45734</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45734</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45734</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45734</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45734</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45734</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45734</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45734</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45734</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45734</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45734</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45734</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45734</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45734</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45734</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45734</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45734</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45734</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45734</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45734</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45734</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45734</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45734</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45734</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45734</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45734</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45734</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45734</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45734</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45734</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45734</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45734</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45734</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45734</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45734</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45734</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45734</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45734</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45734</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45734</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45734</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45734</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45734</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45734</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45734</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45734</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45734</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45734</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45734</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45734</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45734</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45734</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45734</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45734</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45734</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45734</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45734</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45734</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45734</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45734</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45734</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45734</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45734</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45734</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45734</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45734</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45734</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45734</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45734</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45734</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45734</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45734</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45734</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45734</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45734</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45734</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45734</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45734</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45734</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45734</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45734</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45734</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45734</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45734</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45734</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45734</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45734</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45734</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45734</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45734</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45734</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45734</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45734</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45734</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45734</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45734</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45734</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45734</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45734</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45734</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45734</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45734</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45734</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45734</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45734</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45734</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45734</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45734</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45734</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45734</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45734</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45734</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45734</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45734</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45734</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45734</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45734</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45734</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45734</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45734</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45734</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45734</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45734</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45734</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45734</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45734</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45734</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45734</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45734</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45734</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45734</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45734</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45734</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45734</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45734</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45734</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45734</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45734</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45734</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45734</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45734</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45734</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45734</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45734</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45734</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45734</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45734</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45734</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45734</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45734</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45734</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45734</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45734</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45734</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45734</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9926-2025</t>
        </is>
      </c>
      <c r="B588" s="1" t="n">
        <v>45717</v>
      </c>
      <c r="C588" s="1" t="n">
        <v>45734</v>
      </c>
      <c r="D588" t="inlineStr">
        <is>
          <t>ÖREBRO LÄN</t>
        </is>
      </c>
      <c r="E588" t="inlineStr">
        <is>
          <t>HALLSBERG</t>
        </is>
      </c>
      <c r="F588" t="inlineStr">
        <is>
          <t>Sveaskog</t>
        </is>
      </c>
      <c r="G588" t="n">
        <v>7.7</v>
      </c>
      <c r="H588" t="n">
        <v>0</v>
      </c>
      <c r="I588" t="n">
        <v>0</v>
      </c>
      <c r="J588" t="n">
        <v>0</v>
      </c>
      <c r="K588" t="n">
        <v>0</v>
      </c>
      <c r="L588" t="n">
        <v>0</v>
      </c>
      <c r="M588" t="n">
        <v>0</v>
      </c>
      <c r="N588" t="n">
        <v>0</v>
      </c>
      <c r="O588" t="n">
        <v>0</v>
      </c>
      <c r="P588" t="n">
        <v>0</v>
      </c>
      <c r="Q588" t="n">
        <v>0</v>
      </c>
      <c r="R588" s="2" t="inlineStr"/>
    </row>
    <row r="589" ht="15" customHeight="1">
      <c r="A589" t="inlineStr">
        <is>
          <t>A 9930-2025</t>
        </is>
      </c>
      <c r="B589" s="1" t="n">
        <v>45717</v>
      </c>
      <c r="C589" s="1" t="n">
        <v>45734</v>
      </c>
      <c r="D589" t="inlineStr">
        <is>
          <t>ÖREBRO LÄN</t>
        </is>
      </c>
      <c r="E589" t="inlineStr">
        <is>
          <t>HALLSBERG</t>
        </is>
      </c>
      <c r="F589" t="inlineStr">
        <is>
          <t>Sveaskog</t>
        </is>
      </c>
      <c r="G589" t="n">
        <v>2.5</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45734</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9931-2025</t>
        </is>
      </c>
      <c r="B591" s="1" t="n">
        <v>45717</v>
      </c>
      <c r="C591" s="1" t="n">
        <v>45734</v>
      </c>
      <c r="D591" t="inlineStr">
        <is>
          <t>ÖREBRO LÄN</t>
        </is>
      </c>
      <c r="E591" t="inlineStr">
        <is>
          <t>HALLSBERG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9928-2025</t>
        </is>
      </c>
      <c r="B592" s="1" t="n">
        <v>45717</v>
      </c>
      <c r="C592" s="1" t="n">
        <v>45734</v>
      </c>
      <c r="D592" t="inlineStr">
        <is>
          <t>ÖREBRO LÄN</t>
        </is>
      </c>
      <c r="E592" t="inlineStr">
        <is>
          <t>HALLSBERG</t>
        </is>
      </c>
      <c r="F592" t="inlineStr">
        <is>
          <t>Sveaskog</t>
        </is>
      </c>
      <c r="G592" t="n">
        <v>9.9</v>
      </c>
      <c r="H592" t="n">
        <v>0</v>
      </c>
      <c r="I592" t="n">
        <v>0</v>
      </c>
      <c r="J592" t="n">
        <v>0</v>
      </c>
      <c r="K592" t="n">
        <v>0</v>
      </c>
      <c r="L592" t="n">
        <v>0</v>
      </c>
      <c r="M592" t="n">
        <v>0</v>
      </c>
      <c r="N592" t="n">
        <v>0</v>
      </c>
      <c r="O592" t="n">
        <v>0</v>
      </c>
      <c r="P592" t="n">
        <v>0</v>
      </c>
      <c r="Q592" t="n">
        <v>0</v>
      </c>
      <c r="R592" s="2" t="inlineStr"/>
    </row>
    <row r="593" ht="15" customHeight="1">
      <c r="A593" t="inlineStr">
        <is>
          <t>A 9932-2025</t>
        </is>
      </c>
      <c r="B593" s="1" t="n">
        <v>45717</v>
      </c>
      <c r="C593" s="1" t="n">
        <v>45734</v>
      </c>
      <c r="D593" t="inlineStr">
        <is>
          <t>ÖREBRO LÄN</t>
        </is>
      </c>
      <c r="E593" t="inlineStr">
        <is>
          <t>HALLSBERG</t>
        </is>
      </c>
      <c r="F593" t="inlineStr">
        <is>
          <t>Sveaskog</t>
        </is>
      </c>
      <c r="G593" t="n">
        <v>4.6</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45734</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9933-2025</t>
        </is>
      </c>
      <c r="B595" s="1" t="n">
        <v>45717</v>
      </c>
      <c r="C595" s="1" t="n">
        <v>45734</v>
      </c>
      <c r="D595" t="inlineStr">
        <is>
          <t>ÖREBRO LÄN</t>
        </is>
      </c>
      <c r="E595" t="inlineStr">
        <is>
          <t>HALLSBERG</t>
        </is>
      </c>
      <c r="F595" t="inlineStr">
        <is>
          <t>Sveaskog</t>
        </is>
      </c>
      <c r="G595" t="n">
        <v>1.8</v>
      </c>
      <c r="H595" t="n">
        <v>0</v>
      </c>
      <c r="I595" t="n">
        <v>0</v>
      </c>
      <c r="J595" t="n">
        <v>0</v>
      </c>
      <c r="K595" t="n">
        <v>0</v>
      </c>
      <c r="L595" t="n">
        <v>0</v>
      </c>
      <c r="M595" t="n">
        <v>0</v>
      </c>
      <c r="N595" t="n">
        <v>0</v>
      </c>
      <c r="O595" t="n">
        <v>0</v>
      </c>
      <c r="P595" t="n">
        <v>0</v>
      </c>
      <c r="Q595" t="n">
        <v>0</v>
      </c>
      <c r="R595" s="2" t="inlineStr"/>
    </row>
    <row r="596" ht="15" customHeight="1">
      <c r="A596" t="inlineStr">
        <is>
          <t>A 11003-2025</t>
        </is>
      </c>
      <c r="B596" s="1" t="n">
        <v>45723</v>
      </c>
      <c r="C596" s="1" t="n">
        <v>45734</v>
      </c>
      <c r="D596" t="inlineStr">
        <is>
          <t>ÖREBRO LÄN</t>
        </is>
      </c>
      <c r="E596" t="inlineStr">
        <is>
          <t>HALLSBERG</t>
        </is>
      </c>
      <c r="G596" t="n">
        <v>6.8</v>
      </c>
      <c r="H596" t="n">
        <v>0</v>
      </c>
      <c r="I596" t="n">
        <v>0</v>
      </c>
      <c r="J596" t="n">
        <v>0</v>
      </c>
      <c r="K596" t="n">
        <v>0</v>
      </c>
      <c r="L596" t="n">
        <v>0</v>
      </c>
      <c r="M596" t="n">
        <v>0</v>
      </c>
      <c r="N596" t="n">
        <v>0</v>
      </c>
      <c r="O596" t="n">
        <v>0</v>
      </c>
      <c r="P596" t="n">
        <v>0</v>
      </c>
      <c r="Q596" t="n">
        <v>0</v>
      </c>
      <c r="R596" s="2" t="inlineStr"/>
    </row>
    <row r="597" ht="15" customHeight="1">
      <c r="A597" t="inlineStr">
        <is>
          <t>A 11034-2025</t>
        </is>
      </c>
      <c r="B597" s="1" t="n">
        <v>45723</v>
      </c>
      <c r="C597" s="1" t="n">
        <v>45734</v>
      </c>
      <c r="D597" t="inlineStr">
        <is>
          <t>ÖREBRO LÄN</t>
        </is>
      </c>
      <c r="E597" t="inlineStr">
        <is>
          <t>HALLSBERG</t>
        </is>
      </c>
      <c r="G597" t="n">
        <v>4.8</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45734</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45734</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11415-2025</t>
        </is>
      </c>
      <c r="B600" s="1" t="n">
        <v>45726</v>
      </c>
      <c r="C600" s="1" t="n">
        <v>45734</v>
      </c>
      <c r="D600" t="inlineStr">
        <is>
          <t>ÖREBRO LÄN</t>
        </is>
      </c>
      <c r="E600" t="inlineStr">
        <is>
          <t>HALLSBERG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11355-2025</t>
        </is>
      </c>
      <c r="B601" s="1" t="n">
        <v>45726</v>
      </c>
      <c r="C601" s="1" t="n">
        <v>45734</v>
      </c>
      <c r="D601" t="inlineStr">
        <is>
          <t>ÖREBRO LÄN</t>
        </is>
      </c>
      <c r="E601" t="inlineStr">
        <is>
          <t>HALLSBERG</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11416-2025</t>
        </is>
      </c>
      <c r="B602" s="1" t="n">
        <v>45726</v>
      </c>
      <c r="C602" s="1" t="n">
        <v>45734</v>
      </c>
      <c r="D602" t="inlineStr">
        <is>
          <t>ÖREBRO LÄN</t>
        </is>
      </c>
      <c r="E602" t="inlineStr">
        <is>
          <t>HALLSBERG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45734</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11984-2025</t>
        </is>
      </c>
      <c r="B604" s="1" t="n">
        <v>45728</v>
      </c>
      <c r="C604" s="1" t="n">
        <v>45734</v>
      </c>
      <c r="D604" t="inlineStr">
        <is>
          <t>ÖREBRO LÄN</t>
        </is>
      </c>
      <c r="E604" t="inlineStr">
        <is>
          <t>HALLSBERG</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11988-2025</t>
        </is>
      </c>
      <c r="B605" s="1" t="n">
        <v>45728</v>
      </c>
      <c r="C605" s="1" t="n">
        <v>45734</v>
      </c>
      <c r="D605" t="inlineStr">
        <is>
          <t>ÖREBRO LÄN</t>
        </is>
      </c>
      <c r="E605" t="inlineStr">
        <is>
          <t>HALLSBERG</t>
        </is>
      </c>
      <c r="F605" t="inlineStr">
        <is>
          <t>Sveaskog</t>
        </is>
      </c>
      <c r="G605" t="n">
        <v>3.5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45734</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11925-2025</t>
        </is>
      </c>
      <c r="B607" s="1" t="n">
        <v>45728</v>
      </c>
      <c r="C607" s="1" t="n">
        <v>45734</v>
      </c>
      <c r="D607" t="inlineStr">
        <is>
          <t>ÖREBRO LÄN</t>
        </is>
      </c>
      <c r="E607" t="inlineStr">
        <is>
          <t>HALLSBERG</t>
        </is>
      </c>
      <c r="F607" t="inlineStr">
        <is>
          <t>Allmännings- och besparingsskogar</t>
        </is>
      </c>
      <c r="G607" t="n">
        <v>0.4</v>
      </c>
      <c r="H607" t="n">
        <v>0</v>
      </c>
      <c r="I607" t="n">
        <v>0</v>
      </c>
      <c r="J607" t="n">
        <v>0</v>
      </c>
      <c r="K607" t="n">
        <v>0</v>
      </c>
      <c r="L607" t="n">
        <v>0</v>
      </c>
      <c r="M607" t="n">
        <v>0</v>
      </c>
      <c r="N607" t="n">
        <v>0</v>
      </c>
      <c r="O607" t="n">
        <v>0</v>
      </c>
      <c r="P607" t="n">
        <v>0</v>
      </c>
      <c r="Q607" t="n">
        <v>0</v>
      </c>
      <c r="R607" s="2" t="inlineStr"/>
    </row>
    <row r="608" ht="15" customHeight="1">
      <c r="A608" t="inlineStr">
        <is>
          <t>A 12002-2025</t>
        </is>
      </c>
      <c r="B608" s="1" t="n">
        <v>45728</v>
      </c>
      <c r="C608" s="1" t="n">
        <v>45734</v>
      </c>
      <c r="D608" t="inlineStr">
        <is>
          <t>ÖREBRO LÄN</t>
        </is>
      </c>
      <c r="E608" t="inlineStr">
        <is>
          <t>HALLSBERG</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12014-2025</t>
        </is>
      </c>
      <c r="B609" s="1" t="n">
        <v>45728</v>
      </c>
      <c r="C609" s="1" t="n">
        <v>45734</v>
      </c>
      <c r="D609" t="inlineStr">
        <is>
          <t>ÖREBRO LÄN</t>
        </is>
      </c>
      <c r="E609" t="inlineStr">
        <is>
          <t>HALLSBERG</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12018-2025</t>
        </is>
      </c>
      <c r="B610" s="1" t="n">
        <v>45728</v>
      </c>
      <c r="C610" s="1" t="n">
        <v>45734</v>
      </c>
      <c r="D610" t="inlineStr">
        <is>
          <t>ÖREBRO LÄN</t>
        </is>
      </c>
      <c r="E610" t="inlineStr">
        <is>
          <t>HALLSBERG</t>
        </is>
      </c>
      <c r="F610" t="inlineStr">
        <is>
          <t>Sveaskog</t>
        </is>
      </c>
      <c r="G610" t="n">
        <v>0.3</v>
      </c>
      <c r="H610" t="n">
        <v>0</v>
      </c>
      <c r="I610" t="n">
        <v>0</v>
      </c>
      <c r="J610" t="n">
        <v>0</v>
      </c>
      <c r="K610" t="n">
        <v>0</v>
      </c>
      <c r="L610" t="n">
        <v>0</v>
      </c>
      <c r="M610" t="n">
        <v>0</v>
      </c>
      <c r="N610" t="n">
        <v>0</v>
      </c>
      <c r="O610" t="n">
        <v>0</v>
      </c>
      <c r="P610" t="n">
        <v>0</v>
      </c>
      <c r="Q610" t="n">
        <v>0</v>
      </c>
      <c r="R610" s="2" t="inlineStr"/>
    </row>
    <row r="611" ht="15" customHeight="1">
      <c r="A611" t="inlineStr">
        <is>
          <t>A 12008-2025</t>
        </is>
      </c>
      <c r="B611" s="1" t="n">
        <v>45728</v>
      </c>
      <c r="C611" s="1" t="n">
        <v>45734</v>
      </c>
      <c r="D611" t="inlineStr">
        <is>
          <t>ÖREBRO LÄN</t>
        </is>
      </c>
      <c r="E611" t="inlineStr">
        <is>
          <t>HALLSBERG</t>
        </is>
      </c>
      <c r="F611" t="inlineStr">
        <is>
          <t>Sveaskog</t>
        </is>
      </c>
      <c r="G611" t="n">
        <v>1.9</v>
      </c>
      <c r="H611" t="n">
        <v>0</v>
      </c>
      <c r="I611" t="n">
        <v>0</v>
      </c>
      <c r="J611" t="n">
        <v>0</v>
      </c>
      <c r="K611" t="n">
        <v>0</v>
      </c>
      <c r="L611" t="n">
        <v>0</v>
      </c>
      <c r="M611" t="n">
        <v>0</v>
      </c>
      <c r="N611" t="n">
        <v>0</v>
      </c>
      <c r="O611" t="n">
        <v>0</v>
      </c>
      <c r="P611" t="n">
        <v>0</v>
      </c>
      <c r="Q611" t="n">
        <v>0</v>
      </c>
      <c r="R611" s="2" t="inlineStr"/>
    </row>
    <row r="612" ht="15" customHeight="1">
      <c r="A612" t="inlineStr">
        <is>
          <t>A 11995-2025</t>
        </is>
      </c>
      <c r="B612" s="1" t="n">
        <v>45728</v>
      </c>
      <c r="C612" s="1" t="n">
        <v>45734</v>
      </c>
      <c r="D612" t="inlineStr">
        <is>
          <t>ÖREBRO LÄN</t>
        </is>
      </c>
      <c r="E612" t="inlineStr">
        <is>
          <t>HALLSBERG</t>
        </is>
      </c>
      <c r="F612" t="inlineStr">
        <is>
          <t>Sveaskog</t>
        </is>
      </c>
      <c r="G612" t="n">
        <v>2</v>
      </c>
      <c r="H612" t="n">
        <v>0</v>
      </c>
      <c r="I612" t="n">
        <v>0</v>
      </c>
      <c r="J612" t="n">
        <v>0</v>
      </c>
      <c r="K612" t="n">
        <v>0</v>
      </c>
      <c r="L612" t="n">
        <v>0</v>
      </c>
      <c r="M612" t="n">
        <v>0</v>
      </c>
      <c r="N612" t="n">
        <v>0</v>
      </c>
      <c r="O612" t="n">
        <v>0</v>
      </c>
      <c r="P612" t="n">
        <v>0</v>
      </c>
      <c r="Q612" t="n">
        <v>0</v>
      </c>
      <c r="R612" s="2" t="inlineStr"/>
    </row>
    <row r="613" ht="15" customHeight="1">
      <c r="A613" t="inlineStr">
        <is>
          <t>A 12019-2025</t>
        </is>
      </c>
      <c r="B613" s="1" t="n">
        <v>45728</v>
      </c>
      <c r="C613" s="1" t="n">
        <v>45734</v>
      </c>
      <c r="D613" t="inlineStr">
        <is>
          <t>ÖREBRO LÄN</t>
        </is>
      </c>
      <c r="E613" t="inlineStr">
        <is>
          <t>HALLSBERG</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12237-2025</t>
        </is>
      </c>
      <c r="B614" s="1" t="n">
        <v>45729</v>
      </c>
      <c r="C614" s="1" t="n">
        <v>45734</v>
      </c>
      <c r="D614" t="inlineStr">
        <is>
          <t>ÖREBRO LÄN</t>
        </is>
      </c>
      <c r="E614" t="inlineStr">
        <is>
          <t>HALLSBERG</t>
        </is>
      </c>
      <c r="F614" t="inlineStr">
        <is>
          <t>Sveaskog</t>
        </is>
      </c>
      <c r="G614" t="n">
        <v>6.5</v>
      </c>
      <c r="H614" t="n">
        <v>0</v>
      </c>
      <c r="I614" t="n">
        <v>0</v>
      </c>
      <c r="J614" t="n">
        <v>0</v>
      </c>
      <c r="K614" t="n">
        <v>0</v>
      </c>
      <c r="L614" t="n">
        <v>0</v>
      </c>
      <c r="M614" t="n">
        <v>0</v>
      </c>
      <c r="N614" t="n">
        <v>0</v>
      </c>
      <c r="O614" t="n">
        <v>0</v>
      </c>
      <c r="P614" t="n">
        <v>0</v>
      </c>
      <c r="Q614" t="n">
        <v>0</v>
      </c>
      <c r="R614" s="2" t="inlineStr"/>
    </row>
    <row r="615" ht="15" customHeight="1">
      <c r="A615" t="inlineStr">
        <is>
          <t>A 12234-2025</t>
        </is>
      </c>
      <c r="B615" s="1" t="n">
        <v>45729</v>
      </c>
      <c r="C615" s="1" t="n">
        <v>45734</v>
      </c>
      <c r="D615" t="inlineStr">
        <is>
          <t>ÖREBRO LÄN</t>
        </is>
      </c>
      <c r="E615" t="inlineStr">
        <is>
          <t>HALLSBERG</t>
        </is>
      </c>
      <c r="F615" t="inlineStr">
        <is>
          <t>Sveaskog</t>
        </is>
      </c>
      <c r="G615" t="n">
        <v>1.6</v>
      </c>
      <c r="H615" t="n">
        <v>0</v>
      </c>
      <c r="I615" t="n">
        <v>0</v>
      </c>
      <c r="J615" t="n">
        <v>0</v>
      </c>
      <c r="K615" t="n">
        <v>0</v>
      </c>
      <c r="L615" t="n">
        <v>0</v>
      </c>
      <c r="M615" t="n">
        <v>0</v>
      </c>
      <c r="N615" t="n">
        <v>0</v>
      </c>
      <c r="O615" t="n">
        <v>0</v>
      </c>
      <c r="P615" t="n">
        <v>0</v>
      </c>
      <c r="Q615" t="n">
        <v>0</v>
      </c>
      <c r="R615" s="2" t="inlineStr"/>
    </row>
    <row r="616">
      <c r="A616" t="inlineStr">
        <is>
          <t>A 12239-2025</t>
        </is>
      </c>
      <c r="B616" s="1" t="n">
        <v>45729</v>
      </c>
      <c r="C616" s="1" t="n">
        <v>45734</v>
      </c>
      <c r="D616" t="inlineStr">
        <is>
          <t>ÖREBRO LÄN</t>
        </is>
      </c>
      <c r="E616" t="inlineStr">
        <is>
          <t>HALLSBERG</t>
        </is>
      </c>
      <c r="F616" t="inlineStr">
        <is>
          <t>Sveaskog</t>
        </is>
      </c>
      <c r="G616" t="n">
        <v>2</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2025-03-18T15:35:54Z</dcterms:created>
  <dcterms:modified xmlns:dcterms="http://purl.org/dc/terms/" xmlns:xsi="http://www.w3.org/2001/XMLSchema-instance" xsi:type="dcterms:W3CDTF">2025-03-18T15:35:55Z</dcterms:modified>
</cp:coreProperties>
</file>